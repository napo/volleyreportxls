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87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86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82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85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ino" sheetId="1" r:id="rId5"/>
    <sheet state="visible" name="Evento" sheetId="2" r:id="rId6"/>
    <sheet state="visible" name="Rilevazione" sheetId="3" r:id="rId7"/>
    <sheet state="visible" name="Atleti" sheetId="4" r:id="rId8"/>
    <sheet state="visible" name="Grafici squadra" sheetId="5" r:id="rId9"/>
    <sheet state="visible" name="Vinti-Persi Squadra" sheetId="6" r:id="rId10"/>
    <sheet state="visible" name="Statistiche GIoc" sheetId="7" r:id="rId11"/>
    <sheet state="visible" name="Istruzioni" sheetId="8" r:id="rId12"/>
    <sheet state="visible" name="Squadra" sheetId="9" r:id="rId13"/>
    <sheet state="visible" name="Gioc A" sheetId="10" r:id="rId14"/>
    <sheet state="visible" name="Gioc B" sheetId="11" r:id="rId15"/>
    <sheet state="visible" name="Gioc C" sheetId="12" r:id="rId16"/>
    <sheet state="visible" name="Gioc D" sheetId="13" r:id="rId17"/>
    <sheet state="visible" name="Gioc E" sheetId="14" r:id="rId18"/>
    <sheet state="visible" name="Gioc F" sheetId="15" r:id="rId19"/>
    <sheet state="visible" name="Gioc G" sheetId="16" r:id="rId20"/>
    <sheet state="visible" name="Gioc H" sheetId="17" r:id="rId21"/>
    <sheet state="visible" name="Gioc I" sheetId="18" r:id="rId22"/>
    <sheet state="visible" name="Gioc J" sheetId="19" r:id="rId23"/>
    <sheet state="visible" name="Gioc K" sheetId="20" r:id="rId24"/>
    <sheet state="visible" name="Gioc L" sheetId="21" r:id="rId25"/>
    <sheet state="visible" name="Gioc M" sheetId="22" r:id="rId26"/>
    <sheet state="visible" name="Gioc N" sheetId="23" r:id="rId27"/>
    <sheet state="visible" name="Gioc O" sheetId="24" r:id="rId28"/>
  </sheets>
  <definedNames/>
  <calcPr/>
</workbook>
</file>

<file path=xl/sharedStrings.xml><?xml version="1.0" encoding="utf-8"?>
<sst xmlns="http://schemas.openxmlformats.org/spreadsheetml/2006/main" count="4908" uniqueCount="220">
  <si>
    <t>competizione:</t>
  </si>
  <si>
    <t>Set 1</t>
  </si>
  <si>
    <t>amichevole</t>
  </si>
  <si>
    <t>data:</t>
  </si>
  <si>
    <t>squadra:</t>
  </si>
  <si>
    <t>luogo:</t>
  </si>
  <si>
    <t>Sanremo</t>
  </si>
  <si>
    <t>Melodic Spikers</t>
  </si>
  <si>
    <t>avversari:</t>
  </si>
  <si>
    <t>Rhythmic Blockers</t>
  </si>
  <si>
    <t>squadra set1</t>
  </si>
  <si>
    <t>avversari set1</t>
  </si>
  <si>
    <t>squadra set2</t>
  </si>
  <si>
    <t>avversari set2</t>
  </si>
  <si>
    <t>scheda</t>
  </si>
  <si>
    <t>num</t>
  </si>
  <si>
    <t>squadra set3</t>
  </si>
  <si>
    <t>ruolo</t>
  </si>
  <si>
    <t>nome</t>
  </si>
  <si>
    <t>avversari set3</t>
  </si>
  <si>
    <t>squadra set4</t>
  </si>
  <si>
    <t>A</t>
  </si>
  <si>
    <t>avversari set4</t>
  </si>
  <si>
    <t>squadra set5</t>
  </si>
  <si>
    <t>avversari set5</t>
  </si>
  <si>
    <t>Elisa Toffoli</t>
  </si>
  <si>
    <t>B+</t>
  </si>
  <si>
    <t>B</t>
  </si>
  <si>
    <t>A#</t>
  </si>
  <si>
    <t>B=</t>
  </si>
  <si>
    <t>Irene Grandi</t>
  </si>
  <si>
    <t>R#</t>
  </si>
  <si>
    <t>R!</t>
  </si>
  <si>
    <t>C</t>
  </si>
  <si>
    <t>Giorgia Trodani</t>
  </si>
  <si>
    <t>D</t>
  </si>
  <si>
    <t>Emma Marrone</t>
  </si>
  <si>
    <t>E</t>
  </si>
  <si>
    <t>L</t>
  </si>
  <si>
    <t>Lorendana Bertè</t>
  </si>
  <si>
    <t>F</t>
  </si>
  <si>
    <t>Elodie Patrizi</t>
  </si>
  <si>
    <t>G</t>
  </si>
  <si>
    <t>Laura Pausini</t>
  </si>
  <si>
    <t>M!</t>
  </si>
  <si>
    <t>M+</t>
  </si>
  <si>
    <t>B-</t>
  </si>
  <si>
    <t>M#</t>
  </si>
  <si>
    <t>B#</t>
  </si>
  <si>
    <t>H</t>
  </si>
  <si>
    <t>Annalisa Scarrone</t>
  </si>
  <si>
    <t>A+</t>
  </si>
  <si>
    <t>I</t>
  </si>
  <si>
    <t>Sara Sorrenti</t>
  </si>
  <si>
    <t>A=</t>
  </si>
  <si>
    <t>J</t>
  </si>
  <si>
    <t>Veronica Scopelliti</t>
  </si>
  <si>
    <t>B!</t>
  </si>
  <si>
    <t>K</t>
  </si>
  <si>
    <t>Alessandra Amoroso</t>
  </si>
  <si>
    <t>M-</t>
  </si>
  <si>
    <t>P=</t>
  </si>
  <si>
    <t>Carmen Consoli</t>
  </si>
  <si>
    <t>M</t>
  </si>
  <si>
    <t>Gaia Gozzi</t>
  </si>
  <si>
    <t>N</t>
  </si>
  <si>
    <t>Francesca Calearo</t>
  </si>
  <si>
    <t>NOTA: non modificare la colonna scheda</t>
  </si>
  <si>
    <t>R-</t>
  </si>
  <si>
    <t>A-</t>
  </si>
  <si>
    <t>R+</t>
  </si>
  <si>
    <t>R=</t>
  </si>
  <si>
    <t>Set 2</t>
  </si>
  <si>
    <t>R/</t>
  </si>
  <si>
    <t>A!</t>
  </si>
  <si>
    <t>B/</t>
  </si>
  <si>
    <t>A/</t>
  </si>
  <si>
    <t>B #</t>
  </si>
  <si>
    <t>Punti</t>
  </si>
  <si>
    <t>Battuta</t>
  </si>
  <si>
    <t>Ricezione</t>
  </si>
  <si>
    <t>Attacco</t>
  </si>
  <si>
    <t>Muro</t>
  </si>
  <si>
    <t>Set 3</t>
  </si>
  <si>
    <t>Tot</t>
  </si>
  <si>
    <t>V-P</t>
  </si>
  <si>
    <t>Err</t>
  </si>
  <si>
    <t>Pt</t>
  </si>
  <si>
    <t>Pos%</t>
  </si>
  <si>
    <t>Prf%</t>
  </si>
  <si>
    <t>Eff%</t>
  </si>
  <si>
    <t>Mur</t>
  </si>
  <si>
    <t>Pt%</t>
  </si>
  <si>
    <t>M=</t>
  </si>
  <si>
    <t>Set 4</t>
  </si>
  <si>
    <t>Set 5</t>
  </si>
  <si>
    <t>Andamento fondamentali di squadra</t>
  </si>
  <si>
    <t>Totali squadra</t>
  </si>
  <si>
    <t>Punti vinti</t>
  </si>
  <si>
    <t>Bat</t>
  </si>
  <si>
    <t>Att</t>
  </si>
  <si>
    <t>Er. Av</t>
  </si>
  <si>
    <t xml:space="preserve">Atleta </t>
  </si>
  <si>
    <t>Errori totali</t>
  </si>
  <si>
    <t>Invasioni a muro</t>
  </si>
  <si>
    <r>
      <rPr>
        <rFont val="Lato"/>
        <b/>
        <color theme="1"/>
        <sz val="8.0"/>
      </rPr>
      <t>Err</t>
    </r>
    <r>
      <rPr>
        <rFont val="Lato"/>
        <color theme="1"/>
        <sz val="8.0"/>
      </rPr>
      <t xml:space="preserve"> Errori</t>
    </r>
  </si>
  <si>
    <r>
      <rPr>
        <rFont val="Lato"/>
        <b/>
        <color theme="1"/>
        <sz val="8.0"/>
      </rPr>
      <t xml:space="preserve">Pos% </t>
    </r>
    <r>
      <rPr>
        <rFont val="Lato"/>
        <color theme="1"/>
        <sz val="8.0"/>
      </rPr>
      <t xml:space="preserve">  Positiva !+# </t>
    </r>
  </si>
  <si>
    <t>Errori avversari</t>
  </si>
  <si>
    <t>Doppie</t>
  </si>
  <si>
    <r>
      <rPr>
        <rFont val="Lato"/>
        <b/>
        <color theme="1"/>
        <sz val="8.0"/>
      </rPr>
      <t>Mur</t>
    </r>
    <r>
      <rPr>
        <rFont val="Lato"/>
        <color theme="1"/>
        <sz val="8.0"/>
      </rPr>
      <t xml:space="preserve"> Murato</t>
    </r>
  </si>
  <si>
    <r>
      <rPr>
        <rFont val="Lato"/>
        <b/>
        <color rgb="FF000000"/>
        <sz val="8.0"/>
      </rPr>
      <t>Prf</t>
    </r>
    <r>
      <rPr>
        <rFont val="Lato"/>
        <color rgb="FF000000"/>
        <sz val="8.0"/>
      </rPr>
      <t xml:space="preserve"> Perfetto</t>
    </r>
  </si>
  <si>
    <t>VolleyReportXLS by napo</t>
  </si>
  <si>
    <r>
      <rPr>
        <rFont val="Lato"/>
        <b/>
        <color theme="1"/>
        <sz val="8.0"/>
      </rPr>
      <t xml:space="preserve">V-P </t>
    </r>
    <r>
      <rPr>
        <rFont val="Lato"/>
        <color theme="1"/>
        <sz val="8.0"/>
      </rPr>
      <t xml:space="preserve">  Vinti-Persi</t>
    </r>
  </si>
  <si>
    <r>
      <rPr>
        <rFont val="Lato"/>
        <b/>
        <color theme="1"/>
        <sz val="8.0"/>
      </rPr>
      <t>Eff</t>
    </r>
    <r>
      <rPr>
        <rFont val="Lato"/>
        <b val="0"/>
        <color theme="1"/>
        <sz val="8.0"/>
      </rPr>
      <t xml:space="preserve"> Efficienza</t>
    </r>
  </si>
  <si>
    <t>vinti</t>
  </si>
  <si>
    <t>persi</t>
  </si>
  <si>
    <t>VINTI-PERSI</t>
  </si>
  <si>
    <t>Palleggio</t>
  </si>
  <si>
    <t>TOTALE</t>
  </si>
  <si>
    <t>Efficienza</t>
  </si>
  <si>
    <t>Positività</t>
  </si>
  <si>
    <t>Ace subiti</t>
  </si>
  <si>
    <t>Muri subiti</t>
  </si>
  <si>
    <t>PARTITA</t>
  </si>
  <si>
    <t>Riassunto</t>
  </si>
  <si>
    <t>Errori</t>
  </si>
  <si>
    <r>
      <rPr>
        <rFont val="Lato"/>
        <color theme="1"/>
      </rPr>
      <t xml:space="preserve">Chiunque è libero di adattare, modificare, ridistribuire questo file come meglio crede.
L'unica cortesia che si chiede è quella di riportare questa indicazione::
</t>
    </r>
    <r>
      <rPr>
        <rFont val="Lato"/>
        <b/>
        <color theme="1"/>
      </rPr>
      <t>VolleyMatchXLS</t>
    </r>
    <r>
      <rPr>
        <rFont val="Lato"/>
        <color theme="1"/>
      </rPr>
      <t xml:space="preserve"> è un progetto nato da una idea di </t>
    </r>
    <r>
      <rPr>
        <rFont val="Lato"/>
        <b/>
        <color theme="1"/>
      </rPr>
      <t>Maurizio Napolitano</t>
    </r>
  </si>
  <si>
    <t>Efficenza</t>
  </si>
  <si>
    <t>puoi offrirmi un caffè qui</t>
  </si>
  <si>
    <t>https://www.buymeacoffee.com/napo</t>
  </si>
  <si>
    <t>Err. Ric</t>
  </si>
  <si>
    <t>Istruzioni sull'utilizzo</t>
  </si>
  <si>
    <t>(più sotto ci sono le informazioni su come si rilevano i dati)</t>
  </si>
  <si>
    <t>Muri sub</t>
  </si>
  <si>
    <t>Le schede necessarie per utilizzare il foglio di calcolo sono:</t>
  </si>
  <si>
    <t>Atleti</t>
  </si>
  <si>
    <t>qui vanno inseriti i numeri di maglia e i nomi degli atleti senza modificare nient'altro</t>
  </si>
  <si>
    <t>Eff. Ric</t>
  </si>
  <si>
    <t>Evento</t>
  </si>
  <si>
    <t>si tratta delle informazioni di base sulla gara svolta.</t>
  </si>
  <si>
    <t>Sono molto importanti i punteggi in quanto sono quelli che calcolano gli errori avversari.</t>
  </si>
  <si>
    <t>Eff. Att.</t>
  </si>
  <si>
    <t>Il consiglio è di vedere come squadra in casa quella per cui si è rilevato il dato.</t>
  </si>
  <si>
    <t>Rilevazione</t>
  </si>
  <si>
    <t>questo è lo spazio dove vanno inseriti i codici che vengono raccolti durante la gara</t>
  </si>
  <si>
    <t>E importante inserire i valori nelle celle</t>
  </si>
  <si>
    <r>
      <rPr>
        <rFont val="Lato"/>
        <b val="0"/>
        <color theme="1"/>
      </rPr>
      <t xml:space="preserve">Le schede </t>
    </r>
    <r>
      <rPr>
        <rFont val="Lato"/>
        <b/>
        <color theme="1"/>
      </rPr>
      <t>Tabellino</t>
    </r>
    <r>
      <rPr>
        <rFont val="Lato"/>
        <b val="0"/>
        <color theme="1"/>
      </rPr>
      <t xml:space="preserve">, </t>
    </r>
    <r>
      <rPr>
        <rFont val="Lato"/>
        <b/>
        <color theme="1"/>
      </rPr>
      <t>Squadra</t>
    </r>
    <r>
      <rPr>
        <rFont val="Lato"/>
        <b val="0"/>
        <color theme="1"/>
      </rPr>
      <t xml:space="preserve"> e </t>
    </r>
    <r>
      <rPr>
        <rFont val="Lato"/>
        <b/>
        <color theme="1"/>
      </rPr>
      <t>Giocatore</t>
    </r>
    <r>
      <rPr>
        <rFont val="Lato"/>
        <b val="0"/>
        <color theme="1"/>
      </rPr>
      <t xml:space="preserve"> [A...M] </t>
    </r>
    <r>
      <rPr>
        <rFont val="Lato"/>
        <b/>
        <color theme="1"/>
      </rPr>
      <t>non</t>
    </r>
    <r>
      <rPr>
        <rFont val="Lato"/>
        <b val="0"/>
        <color theme="1"/>
      </rPr>
      <t xml:space="preserve"> vanno assolutamente </t>
    </r>
    <r>
      <rPr>
        <rFont val="Lato"/>
        <b/>
        <color theme="1"/>
      </rPr>
      <t>toccate</t>
    </r>
    <r>
      <rPr>
        <rFont val="Lato"/>
        <b val="0"/>
        <color theme="1"/>
      </rPr>
      <t xml:space="preserve"> e si generano in automatico</t>
    </r>
  </si>
  <si>
    <t>Tabellino</t>
  </si>
  <si>
    <t>mostra il report finale della partita</t>
  </si>
  <si>
    <t>Grafici squadra</t>
  </si>
  <si>
    <t>mostra dei grafici sugli andamenti dei fondamentali rilevati per tutta la squadra</t>
  </si>
  <si>
    <t>Vinti-Persi Squadra</t>
  </si>
  <si>
    <t>SQUADRA</t>
  </si>
  <si>
    <t>mostra dei grafici su come si sono ottenuti e persi i punti della squadra</t>
  </si>
  <si>
    <t>Statistiche Gioc.</t>
  </si>
  <si>
    <t>selezionando dal menu a tendina il numero assegnato al giocatore genera dei grafici sull'andamento dei fondamentali e le tabelle descrittive dei dati</t>
  </si>
  <si>
    <t>Squadra</t>
  </si>
  <si>
    <t>da delle statistiche descrittive sui dati raccolte divise per partita e set</t>
  </si>
  <si>
    <r>
      <rPr>
        <rFont val="Lato"/>
        <b/>
        <color theme="1"/>
      </rPr>
      <t xml:space="preserve">Giocatore </t>
    </r>
    <r>
      <rPr>
        <rFont val="Lato"/>
        <b/>
        <i/>
        <color theme="1"/>
      </rPr>
      <t>[A...M]</t>
    </r>
  </si>
  <si>
    <t>sono le statistiche dei singoli giocatori. Nella scheda Atleti si vede come sono assegnate</t>
  </si>
  <si>
    <t>riporta 5 tabelle, una per ogni set</t>
  </si>
  <si>
    <t>ogni riga presenta il giocatore entrato in campo e la sequenza di fondamentali con cui ha toccato il pallone e la relativa valutazione</t>
  </si>
  <si>
    <t>Battuta - simbolo "B"</t>
  </si>
  <si>
    <t>#   punto</t>
  </si>
  <si>
    <t>+   avversario non riceve perfetto'</t>
  </si>
  <si>
    <t>! avversario riceve distante da rete ma riesce a giocare'</t>
  </si>
  <si>
    <t>-   avvesario riceve senza problemi</t>
  </si>
  <si>
    <t>/   il pallone della ricezione avversaria torna nel nostro campo</t>
  </si>
  <si>
    <t>=   errore in battuta</t>
  </si>
  <si>
    <t>Ricezione - simbolo "R"</t>
  </si>
  <si>
    <t>#  perfetta</t>
  </si>
  <si>
    <t>Efficacia</t>
  </si>
  <si>
    <t>+  buona ma primo tempo difficile da giocare</t>
  </si>
  <si>
    <t>! con posizione spostata del palleggiatore</t>
  </si>
  <si>
    <t>-  alzata obbligata</t>
  </si>
  <si>
    <t>/  palla non giocata (oltre rete)</t>
  </si>
  <si>
    <t>=  punto subito</t>
  </si>
  <si>
    <t>Attacco - simbolo "A"</t>
  </si>
  <si>
    <t>#  punto</t>
  </si>
  <si>
    <t>Difesa</t>
  </si>
  <si>
    <t>+  attacco difeso da avversario</t>
  </si>
  <si>
    <t>!  attacco murato ma recuperato dalla copertura</t>
  </si>
  <si>
    <t>-  attacco difeso con possibilità di gioco in primo tempo da parte avversaria</t>
  </si>
  <si>
    <t>D#</t>
  </si>
  <si>
    <t>D+</t>
  </si>
  <si>
    <t>/  attacco murato</t>
  </si>
  <si>
    <t>D!</t>
  </si>
  <si>
    <t>D-</t>
  </si>
  <si>
    <t>D/</t>
  </si>
  <si>
    <t>D=</t>
  </si>
  <si>
    <t>=  attacco sbagliato (rete, fuori, invasione)</t>
  </si>
  <si>
    <t>Muro - simbolo "M"</t>
  </si>
  <si>
    <t>+  passivo</t>
  </si>
  <si>
    <t>!  murato ma recuperato da avversario</t>
  </si>
  <si>
    <t>-  muro scomposto che permette all'avversario di fare punto</t>
  </si>
  <si>
    <t>=  invasione a muro</t>
  </si>
  <si>
    <t>Palleggio - simbolo "P"</t>
  </si>
  <si>
    <t>=  doppia o portata</t>
  </si>
  <si>
    <t xml:space="preserve">Se vuoi, puoi offrirmi un caffè qui        
https://www.buymeacoffee.com/napo        </t>
  </si>
  <si>
    <t>SET1</t>
  </si>
  <si>
    <t>SET2</t>
  </si>
  <si>
    <t>SET 1</t>
  </si>
  <si>
    <t>SET3</t>
  </si>
  <si>
    <t>SET4</t>
  </si>
  <si>
    <t>SET 2</t>
  </si>
  <si>
    <t>SET 3</t>
  </si>
  <si>
    <t>SET 4</t>
  </si>
  <si>
    <t>SET 5</t>
  </si>
  <si>
    <t>Set1</t>
  </si>
  <si>
    <t>Set2</t>
  </si>
  <si>
    <t>Punti vinti e persi dalla squadra</t>
  </si>
  <si>
    <t>Vinti</t>
  </si>
  <si>
    <t>Persi</t>
  </si>
  <si>
    <t>Totale</t>
  </si>
  <si>
    <t>Set3</t>
  </si>
  <si>
    <t>Errori Avv</t>
  </si>
  <si>
    <t>Set4</t>
  </si>
  <si>
    <t>Set5</t>
  </si>
  <si>
    <t>Giocatore N°</t>
  </si>
  <si>
    <t>SET5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</si>
</sst>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"/>
    <numFmt numFmtId="165" formatCode="dd/mm/yyyy"/>
    <numFmt numFmtId="166" formatCode="# %"/>
    <numFmt numFmtId="167" formatCode="mmm d"/>
  </numFmts>
  <fonts count="43">
    <font>
      <sz val="10.0"/>
      <color rgb="FF000000"/>
      <name val="Arial"/>
      <scheme val="minor"/>
    </font>
    <font>
      <b/>
      <sz val="8.0"/>
      <color theme="1"/>
      <name val="Lato"/>
    </font>
    <font>
      <b/>
      <sz val="10.0"/>
      <color theme="1"/>
      <name val="Lato"/>
    </font>
    <font>
      <sz val="10.0"/>
      <color rgb="FF000000"/>
      <name val="Lato"/>
    </font>
    <font>
      <sz val="10.0"/>
      <color theme="1"/>
      <name val="Lato"/>
    </font>
    <font>
      <color theme="1"/>
      <name val="Lato"/>
    </font>
    <font>
      <color theme="1"/>
      <name val="Arial"/>
    </font>
    <font>
      <color rgb="FF000000"/>
      <name val="Lato"/>
    </font>
    <font>
      <color rgb="FF000000"/>
      <name val="&quot;Arial&quot;"/>
    </font>
    <font>
      <sz val="8.0"/>
      <color theme="1"/>
      <name val="Lato"/>
    </font>
    <font>
      <b/>
      <color theme="1"/>
      <name val="Lato"/>
    </font>
    <font>
      <b/>
      <sz val="10.0"/>
      <color rgb="FF000000"/>
      <name val="Lato"/>
    </font>
    <font/>
    <font>
      <i/>
      <color theme="1"/>
      <name val="Lato"/>
    </font>
    <font>
      <b/>
      <i/>
      <color theme="1"/>
      <name val="Lato"/>
    </font>
    <font>
      <b/>
      <sz val="12.0"/>
      <color theme="1"/>
      <name val="Lato"/>
    </font>
    <font>
      <b/>
      <sz val="13.0"/>
      <color rgb="FF000000"/>
      <name val="Arial"/>
    </font>
    <font>
      <sz val="13.0"/>
      <color rgb="FF000000"/>
      <name val="Arial"/>
    </font>
    <font>
      <sz val="13.0"/>
      <color theme="1"/>
      <name val="Arial"/>
      <scheme val="minor"/>
    </font>
    <font>
      <sz val="13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8.0"/>
      <color rgb="FF000000"/>
      <name val="Lato"/>
    </font>
    <font>
      <i/>
      <sz val="6.0"/>
      <color theme="1"/>
      <name val="Arial"/>
      <scheme val="minor"/>
    </font>
    <font>
      <sz val="8.0"/>
      <color theme="1"/>
      <name val="Arial"/>
      <scheme val="minor"/>
    </font>
    <font>
      <color rgb="FFFFFFFF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i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9.0"/>
      <color rgb="FF000000"/>
      <name val="Arial"/>
    </font>
    <font>
      <u/>
      <color rgb="FF000000"/>
      <name val="Lato"/>
    </font>
    <font>
      <b/>
      <color theme="1"/>
      <name val="Arial"/>
    </font>
    <font>
      <sz val="9.0"/>
      <color rgb="FF7E3794"/>
      <name val="Arial"/>
      <scheme val="minor"/>
    </font>
    <font>
      <sz val="10.0"/>
      <color rgb="FFFFFFFF"/>
      <name val="Arial"/>
    </font>
    <font>
      <b/>
      <sz val="12.0"/>
      <color rgb="FF000000"/>
      <name val="&quot;Arial&quot;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b/>
      <color rgb="FF000000"/>
      <name val="Lato"/>
    </font>
    <font>
      <i/>
      <color rgb="FF000000"/>
      <name val="La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65">
    <border/>
    <border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dotted">
        <color rgb="FF000000"/>
      </right>
      <bottom style="hair">
        <color rgb="FF000000"/>
      </bottom>
    </border>
    <border>
      <left style="dotted">
        <color rgb="FF000000"/>
      </left>
      <right style="hair">
        <color rgb="FF000000"/>
      </righ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left style="dotted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dotted">
        <color rgb="FF000000"/>
      </right>
      <top style="hair">
        <color rgb="FF000000"/>
      </top>
    </border>
    <border>
      <left style="dotted">
        <color rgb="FF000000"/>
      </left>
      <right style="thin">
        <color rgb="FF000000"/>
      </right>
      <top style="hair">
        <color rgb="FF000000"/>
      </top>
    </border>
    <border>
      <left style="dotted">
        <color rgb="FF000000"/>
      </left>
      <right style="hair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hair">
        <color rgb="FF000000"/>
      </right>
      <top style="thin">
        <color rgb="FF000000"/>
      </top>
    </border>
    <border>
      <left style="dotted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dotted">
        <color rgb="FF000000"/>
      </right>
    </border>
    <border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hair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top style="hair">
        <color rgb="FF000000"/>
      </top>
      <bottom style="hair">
        <color rgb="FF000000"/>
      </bottom>
    </border>
    <border>
      <left style="dotted">
        <color rgb="FF000000"/>
      </left>
      <right style="hair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bottom style="dotted">
        <color rgb="FF000000"/>
      </bottom>
    </border>
    <border>
      <left style="hair">
        <color rgb="FF000000"/>
      </left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8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shrinkToFit="0" vertical="top" wrapText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0"/>
    </xf>
    <xf borderId="0" fillId="2" fontId="3" numFmtId="0" xfId="0" applyAlignment="1" applyFill="1" applyFont="1">
      <alignment horizontal="left" readingOrder="0" shrinkToFit="0" wrapText="1"/>
    </xf>
    <xf borderId="1" fillId="0" fontId="4" numFmtId="0" xfId="0" applyAlignment="1" applyBorder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2" fontId="3" numFmtId="165" xfId="0" applyAlignment="1" applyFill="1" applyFont="1" applyNumberForma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shrinkToFit="0" wrapText="1"/>
    </xf>
    <xf borderId="0" fillId="2" fontId="7" numFmtId="0" xfId="0" applyAlignment="1" applyFill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horizontal="left" shrinkToFit="0" wrapText="1"/>
    </xf>
    <xf borderId="0" fillId="0" fontId="9" numFmtId="0" xfId="0" applyAlignment="1" applyFont="1">
      <alignment horizontal="center" shrinkToFit="0" wrapText="1"/>
    </xf>
    <xf borderId="0" fillId="0" fontId="5" numFmtId="0" xfId="0" applyAlignment="1" applyFont="1">
      <alignment horizontal="left" readingOrder="0" shrinkToFit="0" wrapText="1"/>
    </xf>
    <xf borderId="2" fillId="0" fontId="4" numFmtId="0" xfId="0" applyAlignment="1" applyBorder="1" applyFont="1">
      <alignment shrinkToFit="0" wrapText="1"/>
    </xf>
    <xf borderId="0" fillId="0" fontId="5" numFmtId="0" xfId="0" applyAlignment="1" applyFont="1">
      <alignment horizontal="left" shrinkToFit="0" wrapText="1"/>
    </xf>
    <xf borderId="3" fillId="0" fontId="10" numFmtId="1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wrapText="1"/>
    </xf>
    <xf borderId="4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shrinkToFit="0" wrapText="0"/>
    </xf>
    <xf borderId="5" fillId="0" fontId="4" numFmtId="0" xfId="0" applyAlignment="1" applyBorder="1" applyFont="1">
      <alignment shrinkToFit="0" wrapText="1"/>
    </xf>
    <xf borderId="6" fillId="0" fontId="10" numFmtId="1" xfId="0" applyAlignment="1" applyBorder="1" applyFont="1" applyNumberFormat="1">
      <alignment horizontal="center" shrinkToFit="0" wrapText="0"/>
    </xf>
    <xf borderId="7" fillId="0" fontId="5" numFmtId="0" xfId="0" applyAlignment="1" applyBorder="1" applyFont="1">
      <alignment horizontal="center" shrinkToFit="0" wrapText="0"/>
    </xf>
    <xf borderId="7" fillId="0" fontId="5" numFmtId="0" xfId="0" applyAlignment="1" applyBorder="1" applyFont="1">
      <alignment shrinkToFit="0" wrapText="1"/>
    </xf>
    <xf borderId="0" fillId="0" fontId="1" numFmtId="0" xfId="0" applyAlignment="1" applyFont="1">
      <alignment horizontal="right" shrinkToFit="0" vertical="top" wrapText="0"/>
    </xf>
    <xf borderId="0" fillId="0" fontId="5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vertical="center" wrapText="0"/>
    </xf>
    <xf borderId="7" fillId="0" fontId="5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1" fillId="0" fontId="5" numFmtId="0" xfId="0" applyAlignment="1" applyBorder="1" applyFont="1">
      <alignment readingOrder="0" shrinkToFit="0" wrapText="1"/>
    </xf>
    <xf borderId="0" fillId="0" fontId="7" numFmtId="0" xfId="0" applyAlignment="1" applyFont="1">
      <alignment horizontal="left" readingOrder="0" shrinkToFit="0" wrapText="1"/>
    </xf>
    <xf borderId="3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 shrinkToFit="0" wrapText="0"/>
    </xf>
    <xf borderId="2" fillId="0" fontId="5" numFmtId="0" xfId="0" applyAlignment="1" applyBorder="1" applyFont="1">
      <alignment shrinkToFit="0" wrapText="1"/>
    </xf>
    <xf borderId="3" fillId="0" fontId="11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wrapText="1"/>
    </xf>
    <xf borderId="10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readingOrder="0" shrinkToFit="0" wrapText="0"/>
    </xf>
    <xf borderId="3" fillId="0" fontId="11" numFmtId="1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3" fillId="0" fontId="3" numFmtId="1" xfId="0" applyAlignment="1" applyBorder="1" applyFont="1" applyNumberFormat="1">
      <alignment horizontal="center" shrinkToFit="0" vertical="center" wrapText="0"/>
    </xf>
    <xf borderId="6" fillId="0" fontId="10" numFmtId="1" xfId="0" applyAlignment="1" applyBorder="1" applyFont="1" applyNumberFormat="1">
      <alignment horizontal="center" readingOrder="0" shrinkToFit="0" wrapText="0"/>
    </xf>
    <xf borderId="7" fillId="2" fontId="5" numFmtId="0" xfId="0" applyAlignment="1" applyBorder="1" applyFill="1" applyFont="1">
      <alignment horizontal="center" shrinkToFit="0" wrapText="0"/>
    </xf>
    <xf borderId="11" fillId="0" fontId="10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shrinkToFit="0" wrapText="1"/>
    </xf>
    <xf borderId="13" fillId="0" fontId="12" numFmtId="0" xfId="0" applyAlignment="1" applyBorder="1" applyFont="1">
      <alignment shrinkToFit="0" wrapText="1"/>
    </xf>
    <xf borderId="12" fillId="0" fontId="10" numFmtId="0" xfId="0" applyAlignment="1" applyBorder="1" applyFont="1">
      <alignment horizontal="center" shrinkToFit="0" wrapText="1"/>
    </xf>
    <xf borderId="14" fillId="0" fontId="10" numFmtId="0" xfId="0" applyAlignment="1" applyBorder="1" applyFont="1">
      <alignment horizontal="center" shrinkToFit="0" wrapText="1"/>
    </xf>
    <xf borderId="15" fillId="0" fontId="10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Alignment="1" applyBorder="1" applyFont="1">
      <alignment shrinkToFit="0" wrapText="1"/>
    </xf>
    <xf borderId="18" fillId="0" fontId="12" numFmtId="0" xfId="0" applyAlignment="1" applyBorder="1" applyFont="1">
      <alignment shrinkToFit="0" wrapText="1"/>
    </xf>
    <xf borderId="17" fillId="0" fontId="13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19" fillId="0" fontId="14" numFmtId="0" xfId="0" applyAlignment="1" applyBorder="1" applyFont="1">
      <alignment horizontal="center" shrinkToFit="0" wrapText="1"/>
    </xf>
    <xf borderId="18" fillId="0" fontId="14" numFmtId="0" xfId="0" applyAlignment="1" applyBorder="1" applyFont="1">
      <alignment horizontal="center" shrinkToFit="0" wrapText="1"/>
    </xf>
    <xf borderId="17" fillId="0" fontId="14" numFmtId="0" xfId="0" applyAlignment="1" applyBorder="1" applyFont="1">
      <alignment horizontal="center" shrinkToFit="0" wrapText="1"/>
    </xf>
    <xf borderId="18" fillId="0" fontId="14" numFmtId="0" xfId="0" applyAlignment="1" applyBorder="1" applyFont="1">
      <alignment horizontal="center" readingOrder="0" shrinkToFit="0" wrapText="1"/>
    </xf>
    <xf borderId="20" fillId="0" fontId="14" numFmtId="0" xfId="0" applyAlignment="1" applyBorder="1" applyFont="1">
      <alignment horizontal="center" shrinkToFit="0" wrapText="1"/>
    </xf>
    <xf borderId="21" fillId="0" fontId="5" numFmtId="0" xfId="0" applyAlignment="1" applyBorder="1" applyFont="1">
      <alignment shrinkToFit="0" wrapText="1"/>
    </xf>
    <xf borderId="6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shrinkToFit="0" wrapText="1"/>
    </xf>
    <xf borderId="6" fillId="0" fontId="10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wrapText="1"/>
    </xf>
    <xf borderId="23" fillId="0" fontId="5" numFmtId="1" xfId="0" applyAlignment="1" applyBorder="1" applyFont="1" applyNumberFormat="1">
      <alignment horizontal="center" shrinkToFit="0" wrapText="1"/>
    </xf>
    <xf borderId="22" fillId="0" fontId="5" numFmtId="1" xfId="0" applyAlignment="1" applyBorder="1" applyFont="1" applyNumberFormat="1">
      <alignment horizontal="center" shrinkToFit="0" wrapText="1"/>
    </xf>
    <xf borderId="6" fillId="0" fontId="5" numFmtId="1" xfId="0" applyAlignment="1" applyBorder="1" applyFont="1" applyNumberFormat="1">
      <alignment horizontal="center" shrinkToFit="0" wrapText="1"/>
    </xf>
    <xf borderId="6" fillId="0" fontId="5" numFmtId="9" xfId="0" applyAlignment="1" applyBorder="1" applyFont="1" applyNumberFormat="1">
      <alignment horizontal="center" shrinkToFit="0" wrapText="1"/>
    </xf>
    <xf borderId="22" fillId="0" fontId="5" numFmtId="166" xfId="0" applyAlignment="1" applyBorder="1" applyFont="1" applyNumberFormat="1">
      <alignment horizontal="center" shrinkToFit="0" wrapText="1"/>
    </xf>
    <xf borderId="22" fillId="0" fontId="5" numFmtId="9" xfId="0" applyAlignment="1" applyBorder="1" applyFont="1" applyNumberFormat="1">
      <alignment horizontal="center" shrinkToFit="0" wrapText="1"/>
    </xf>
    <xf borderId="24" fillId="0" fontId="5" numFmtId="9" xfId="0" applyAlignment="1" applyBorder="1" applyFont="1" applyNumberFormat="1">
      <alignment horizontal="center" shrinkToFit="0" wrapText="1"/>
    </xf>
    <xf borderId="25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wrapText="1"/>
    </xf>
    <xf borderId="26" fillId="0" fontId="5" numFmtId="0" xfId="0" applyAlignment="1" applyBorder="1" applyFont="1">
      <alignment horizontal="center" shrinkToFit="0" wrapText="1"/>
    </xf>
    <xf borderId="27" fillId="0" fontId="5" numFmtId="1" xfId="0" applyAlignment="1" applyBorder="1" applyFont="1" applyNumberFormat="1">
      <alignment horizontal="center" shrinkToFit="0" wrapText="1"/>
    </xf>
    <xf borderId="28" fillId="0" fontId="5" numFmtId="0" xfId="0" applyAlignment="1" applyBorder="1" applyFont="1">
      <alignment horizontal="center" shrinkToFit="0" wrapText="1"/>
    </xf>
    <xf borderId="27" fillId="0" fontId="5" numFmtId="0" xfId="0" applyAlignment="1" applyBorder="1" applyFont="1">
      <alignment horizontal="center" shrinkToFit="0" wrapText="1"/>
    </xf>
    <xf borderId="28" fillId="0" fontId="5" numFmtId="166" xfId="0" applyAlignment="1" applyBorder="1" applyFont="1" applyNumberFormat="1">
      <alignment horizontal="center" shrinkToFit="0" wrapText="1"/>
    </xf>
    <xf borderId="3" fillId="0" fontId="5" numFmtId="1" xfId="0" applyAlignment="1" applyBorder="1" applyFont="1" applyNumberFormat="1">
      <alignment horizontal="center" shrinkToFit="0" wrapText="1"/>
    </xf>
    <xf borderId="29" fillId="0" fontId="5" numFmtId="1" xfId="0" applyAlignment="1" applyBorder="1" applyFont="1" applyNumberFormat="1">
      <alignment horizontal="center" shrinkToFit="0" wrapText="1"/>
    </xf>
    <xf borderId="29" fillId="0" fontId="5" numFmtId="0" xfId="0" applyAlignment="1" applyBorder="1" applyFont="1">
      <alignment horizontal="center" shrinkToFit="0" wrapText="1"/>
    </xf>
    <xf borderId="28" fillId="0" fontId="5" numFmtId="1" xfId="0" applyAlignment="1" applyBorder="1" applyFont="1" applyNumberFormat="1">
      <alignment horizontal="center" shrinkToFit="0" wrapText="1"/>
    </xf>
    <xf borderId="3" fillId="0" fontId="5" numFmtId="9" xfId="0" applyAlignment="1" applyBorder="1" applyFont="1" applyNumberForma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3" fillId="0" fontId="5" numFmtId="0" xfId="0" applyAlignment="1" applyBorder="1" applyFont="1">
      <alignment horizontal="center" shrinkToFit="0" wrapText="1"/>
    </xf>
    <xf borderId="0" fillId="0" fontId="15" numFmtId="0" xfId="0" applyAlignment="1" applyFont="1">
      <alignment readingOrder="0" shrinkToFit="0" wrapText="0"/>
    </xf>
    <xf borderId="30" fillId="0" fontId="5" numFmtId="1" xfId="0" applyAlignment="1" applyBorder="1" applyFont="1" applyNumberFormat="1">
      <alignment horizontal="center" shrinkToFit="0" wrapText="1"/>
    </xf>
    <xf borderId="10" fillId="0" fontId="5" numFmtId="0" xfId="0" applyAlignment="1" applyBorder="1" applyFont="1">
      <alignment horizontal="center" shrinkToFit="0" wrapText="1"/>
    </xf>
    <xf borderId="31" fillId="0" fontId="5" numFmtId="1" xfId="0" applyAlignment="1" applyBorder="1" applyFont="1" applyNumberFormat="1">
      <alignment horizontal="center" shrinkToFit="0" wrapText="1"/>
    </xf>
    <xf borderId="32" fillId="0" fontId="5" numFmtId="1" xfId="0" applyAlignment="1" applyBorder="1" applyFont="1" applyNumberFormat="1">
      <alignment horizontal="center" shrinkToFit="0" wrapText="1"/>
    </xf>
    <xf borderId="31" fillId="0" fontId="5" numFmtId="9" xfId="0" applyAlignment="1" applyBorder="1" applyFont="1" applyNumberFormat="1">
      <alignment horizontal="center" shrinkToFit="0" wrapText="1"/>
    </xf>
    <xf borderId="32" fillId="0" fontId="5" numFmtId="166" xfId="0" applyAlignment="1" applyBorder="1" applyFont="1" applyNumberFormat="1">
      <alignment horizontal="center" shrinkToFit="0" wrapText="1"/>
    </xf>
    <xf borderId="31" fillId="0" fontId="5" numFmtId="0" xfId="0" applyAlignment="1" applyBorder="1" applyFont="1">
      <alignment horizontal="center" shrinkToFit="0" wrapText="1"/>
    </xf>
    <xf borderId="33" fillId="0" fontId="5" numFmtId="0" xfId="0" applyAlignment="1" applyBorder="1" applyFont="1">
      <alignment horizontal="center" shrinkToFit="0" wrapText="1"/>
    </xf>
    <xf borderId="32" fillId="0" fontId="5" numFmtId="0" xfId="0" applyAlignment="1" applyBorder="1" applyFont="1">
      <alignment horizontal="center" shrinkToFit="0" wrapText="1"/>
    </xf>
    <xf borderId="34" fillId="0" fontId="5" numFmtId="1" xfId="0" applyAlignment="1" applyBorder="1" applyFont="1" applyNumberFormat="1">
      <alignment horizontal="center" shrinkToFit="0" wrapText="1"/>
    </xf>
    <xf borderId="0" fillId="0" fontId="13" numFmtId="0" xfId="0" applyAlignment="1" applyFont="1">
      <alignment horizontal="left" shrinkToFit="0" wrapText="1"/>
    </xf>
    <xf borderId="35" fillId="0" fontId="13" numFmtId="0" xfId="0" applyAlignment="1" applyBorder="1" applyFont="1">
      <alignment horizontal="left" shrinkToFit="0" wrapText="1"/>
    </xf>
    <xf borderId="36" fillId="0" fontId="12" numFmtId="0" xfId="0" applyAlignment="1" applyBorder="1" applyFont="1">
      <alignment shrinkToFit="0" wrapText="1"/>
    </xf>
    <xf borderId="37" fillId="0" fontId="12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wrapText="1"/>
    </xf>
    <xf borderId="13" fillId="0" fontId="5" numFmtId="0" xfId="0" applyAlignment="1" applyBorder="1" applyFont="1">
      <alignment horizontal="center" shrinkToFit="0" wrapText="1"/>
    </xf>
    <xf borderId="38" fillId="0" fontId="5" numFmtId="1" xfId="0" applyAlignment="1" applyBorder="1" applyFont="1" applyNumberFormat="1">
      <alignment horizontal="center" shrinkToFit="0" wrapText="1"/>
    </xf>
    <xf borderId="13" fillId="0" fontId="5" numFmtId="1" xfId="0" applyAlignment="1" applyBorder="1" applyFont="1" applyNumberFormat="1">
      <alignment horizontal="center" shrinkToFit="0" wrapText="1"/>
    </xf>
    <xf borderId="36" fillId="0" fontId="5" numFmtId="0" xfId="0" applyAlignment="1" applyBorder="1" applyFont="1">
      <alignment horizontal="center" shrinkToFit="0" wrapText="1"/>
    </xf>
    <xf borderId="39" fillId="0" fontId="5" numFmtId="1" xfId="0" applyAlignment="1" applyBorder="1" applyFont="1" applyNumberFormat="1">
      <alignment horizontal="center" shrinkToFit="0" wrapText="1"/>
    </xf>
    <xf borderId="40" fillId="0" fontId="5" numFmtId="1" xfId="0" applyAlignment="1" applyBorder="1" applyFont="1" applyNumberFormat="1">
      <alignment horizontal="center" shrinkToFit="0" wrapText="1"/>
    </xf>
    <xf borderId="41" fillId="0" fontId="5" numFmtId="1" xfId="0" applyAlignment="1" applyBorder="1" applyFont="1" applyNumberFormat="1">
      <alignment horizontal="center" shrinkToFit="0" wrapText="1"/>
    </xf>
    <xf borderId="42" fillId="0" fontId="5" numFmtId="1" xfId="0" applyAlignment="1" applyBorder="1" applyFont="1" applyNumberFormat="1">
      <alignment horizontal="center" shrinkToFit="0" wrapText="1"/>
    </xf>
    <xf borderId="42" fillId="0" fontId="5" numFmtId="0" xfId="0" applyAlignment="1" applyBorder="1" applyFont="1">
      <alignment horizontal="center" shrinkToFit="0" wrapText="1"/>
    </xf>
    <xf borderId="42" fillId="0" fontId="5" numFmtId="9" xfId="0" applyAlignment="1" applyBorder="1" applyFont="1" applyNumberFormat="1">
      <alignment horizontal="center" shrinkToFit="0" wrapText="1"/>
    </xf>
    <xf borderId="42" fillId="0" fontId="5" numFmtId="166" xfId="0" applyAlignment="1" applyBorder="1" applyFont="1" applyNumberFormat="1">
      <alignment horizontal="center" shrinkToFit="0" wrapText="1"/>
    </xf>
    <xf borderId="37" fillId="0" fontId="5" numFmtId="166" xfId="0" applyAlignment="1" applyBorder="1" applyFont="1" applyNumberFormat="1">
      <alignment horizontal="center" shrinkToFit="0" wrapText="1"/>
    </xf>
    <xf borderId="43" fillId="0" fontId="5" numFmtId="1" xfId="0" applyAlignment="1" applyBorder="1" applyFont="1" applyNumberFormat="1">
      <alignment horizontal="center" shrinkToFit="0" wrapText="1"/>
    </xf>
    <xf borderId="36" fillId="0" fontId="5" numFmtId="1" xfId="0" applyAlignment="1" applyBorder="1" applyFont="1" applyNumberFormat="1">
      <alignment horizontal="center" shrinkToFit="0" wrapText="1"/>
    </xf>
    <xf borderId="44" fillId="0" fontId="5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shrinkToFit="0" vertical="bottom" wrapText="0"/>
    </xf>
    <xf borderId="45" fillId="0" fontId="9" numFmtId="0" xfId="0" applyAlignment="1" applyBorder="1" applyFont="1">
      <alignment horizontal="center" shrinkToFit="0" vertical="bottom" wrapText="0"/>
    </xf>
    <xf borderId="46" fillId="0" fontId="1" numFmtId="0" xfId="0" applyAlignment="1" applyBorder="1" applyFont="1">
      <alignment horizontal="center" shrinkToFit="0" vertical="bottom" wrapText="0"/>
    </xf>
    <xf borderId="47" fillId="0" fontId="1" numFmtId="0" xfId="0" applyAlignment="1" applyBorder="1" applyFont="1">
      <alignment horizontal="center" shrinkToFit="0" wrapText="0"/>
    </xf>
    <xf borderId="47" fillId="0" fontId="1" numFmtId="0" xfId="0" applyAlignment="1" applyBorder="1" applyFont="1">
      <alignment horizontal="center" shrinkToFit="0" wrapText="1"/>
    </xf>
    <xf borderId="34" fillId="0" fontId="5" numFmtId="0" xfId="0" applyAlignment="1" applyBorder="1" applyFont="1">
      <alignment horizontal="center" shrinkToFit="0" wrapText="1"/>
    </xf>
    <xf borderId="48" fillId="0" fontId="5" numFmtId="0" xfId="0" applyAlignment="1" applyBorder="1" applyFont="1">
      <alignment horizontal="center" shrinkToFit="0" wrapText="1"/>
    </xf>
    <xf borderId="49" fillId="0" fontId="5" numFmtId="0" xfId="0" applyAlignment="1" applyBorder="1" applyFont="1">
      <alignment horizontal="center" shrinkToFit="0" wrapText="1"/>
    </xf>
    <xf borderId="49" fillId="0" fontId="5" numFmtId="9" xfId="0" applyAlignment="1" applyBorder="1" applyFont="1" applyNumberFormat="1">
      <alignment horizontal="center" shrinkToFit="0" wrapText="1"/>
    </xf>
    <xf borderId="50" fillId="0" fontId="5" numFmtId="9" xfId="0" applyAlignment="1" applyBorder="1" applyFont="1" applyNumberFormat="1">
      <alignment horizontal="center" shrinkToFit="0" wrapText="1"/>
    </xf>
    <xf borderId="51" fillId="0" fontId="5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vertical="bottom" wrapText="0"/>
    </xf>
    <xf borderId="7" fillId="0" fontId="4" numFmtId="1" xfId="0" applyAlignment="1" applyBorder="1" applyFont="1" applyNumberFormat="1">
      <alignment horizontal="center" shrinkToFit="0" wrapText="0"/>
    </xf>
    <xf borderId="6" fillId="0" fontId="4" numFmtId="1" xfId="0" applyAlignment="1" applyBorder="1" applyFont="1" applyNumberFormat="1">
      <alignment horizontal="center" shrinkToFit="0" wrapText="0"/>
    </xf>
    <xf borderId="52" fillId="0" fontId="5" numFmtId="0" xfId="0" applyAlignment="1" applyBorder="1" applyFont="1">
      <alignment horizontal="center" shrinkToFit="0" vertical="bottom" wrapText="1"/>
    </xf>
    <xf borderId="24" fillId="0" fontId="4" numFmtId="0" xfId="0" applyAlignment="1" applyBorder="1" applyFont="1">
      <alignment horizontal="center" shrinkToFit="0" wrapText="1"/>
    </xf>
    <xf borderId="7" fillId="0" fontId="4" numFmtId="1" xfId="0" applyAlignment="1" applyBorder="1" applyFont="1" applyNumberFormat="1">
      <alignment horizontal="center" shrinkToFit="0" wrapText="1"/>
    </xf>
    <xf borderId="6" fillId="0" fontId="4" numFmtId="1" xfId="0" applyAlignment="1" applyBorder="1" applyFont="1" applyNumberFormat="1">
      <alignment horizontal="center" shrinkToFit="0" wrapText="1"/>
    </xf>
    <xf borderId="22" fillId="0" fontId="4" numFmtId="1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3" fillId="0" fontId="4" numFmtId="1" xfId="0" applyAlignment="1" applyBorder="1" applyFont="1" applyNumberFormat="1">
      <alignment horizontal="center" shrinkToFit="0" wrapText="1"/>
    </xf>
    <xf borderId="6" fillId="0" fontId="4" numFmtId="9" xfId="0" applyAlignment="1" applyBorder="1" applyFont="1" applyNumberFormat="1">
      <alignment horizontal="center" shrinkToFit="0" wrapText="1"/>
    </xf>
    <xf borderId="22" fillId="0" fontId="4" numFmtId="9" xfId="0" applyAlignment="1" applyBorder="1" applyFont="1" applyNumberFormat="1">
      <alignment horizontal="center" shrinkToFit="0" wrapText="1"/>
    </xf>
    <xf borderId="24" fillId="0" fontId="4" numFmtId="9" xfId="0" applyAlignment="1" applyBorder="1" applyFont="1" applyNumberFormat="1">
      <alignment horizontal="center" shrinkToFit="0" wrapText="1"/>
    </xf>
    <xf borderId="53" fillId="0" fontId="4" numFmtId="1" xfId="0" applyAlignment="1" applyBorder="1" applyFont="1" applyNumberFormat="1">
      <alignment horizontal="center" shrinkToFit="0" wrapText="1"/>
    </xf>
    <xf borderId="45" fillId="0" fontId="5" numFmtId="0" xfId="0" applyAlignment="1" applyBorder="1" applyFont="1">
      <alignment shrinkToFit="0" wrapText="1"/>
    </xf>
    <xf borderId="50" fillId="0" fontId="2" numFmtId="0" xfId="0" applyAlignment="1" applyBorder="1" applyFont="1">
      <alignment horizontal="center" shrinkToFit="0" vertical="bottom" wrapText="0"/>
    </xf>
    <xf borderId="4" fillId="0" fontId="4" numFmtId="1" xfId="0" applyAlignment="1" applyBorder="1" applyFont="1" applyNumberFormat="1">
      <alignment horizontal="center" shrinkToFit="0" wrapText="0"/>
    </xf>
    <xf borderId="3" fillId="0" fontId="4" numFmtId="1" xfId="0" applyAlignment="1" applyBorder="1" applyFont="1" applyNumberFormat="1">
      <alignment horizontal="center" shrinkToFit="0" wrapText="0"/>
    </xf>
    <xf borderId="22" fillId="0" fontId="5" numFmtId="0" xfId="0" applyAlignment="1" applyBorder="1" applyFont="1">
      <alignment horizontal="center" shrinkToFit="0" vertical="bottom" wrapText="1"/>
    </xf>
    <xf borderId="54" fillId="0" fontId="4" numFmtId="0" xfId="0" applyAlignment="1" applyBorder="1" applyFont="1">
      <alignment horizontal="center" shrinkToFit="0" wrapText="1"/>
    </xf>
    <xf borderId="4" fillId="0" fontId="4" numFmtId="1" xfId="0" applyAlignment="1" applyBorder="1" applyFont="1" applyNumberFormat="1">
      <alignment horizontal="center" shrinkToFit="0" wrapText="1"/>
    </xf>
    <xf borderId="3" fillId="0" fontId="4" numFmtId="1" xfId="0" applyAlignment="1" applyBorder="1" applyFont="1" applyNumberFormat="1">
      <alignment horizontal="center" shrinkToFit="0" wrapText="1"/>
    </xf>
    <xf borderId="28" fillId="0" fontId="4" numFmtId="1" xfId="0" applyAlignment="1" applyBorder="1" applyFont="1" applyNumberFormat="1">
      <alignment horizontal="center" shrinkToFit="0" wrapText="1"/>
    </xf>
    <xf borderId="26" fillId="0" fontId="4" numFmtId="0" xfId="0" applyAlignment="1" applyBorder="1" applyFont="1">
      <alignment horizontal="center" shrinkToFit="0" wrapText="1"/>
    </xf>
    <xf borderId="27" fillId="0" fontId="4" numFmtId="1" xfId="0" applyAlignment="1" applyBorder="1" applyFont="1" applyNumberFormat="1">
      <alignment horizontal="center" shrinkToFit="0" wrapText="1"/>
    </xf>
    <xf borderId="3" fillId="0" fontId="4" numFmtId="9" xfId="0" applyAlignment="1" applyBorder="1" applyFont="1" applyNumberFormat="1">
      <alignment horizontal="center" shrinkToFit="0" wrapText="1"/>
    </xf>
    <xf borderId="28" fillId="0" fontId="4" numFmtId="9" xfId="0" applyAlignment="1" applyBorder="1" applyFont="1" applyNumberFormat="1">
      <alignment horizontal="center" shrinkToFit="0" wrapText="1"/>
    </xf>
    <xf borderId="54" fillId="0" fontId="4" numFmtId="9" xfId="0" applyAlignment="1" applyBorder="1" applyFont="1" applyNumberFormat="1">
      <alignment horizontal="center" shrinkToFit="0" wrapText="1"/>
    </xf>
    <xf borderId="55" fillId="0" fontId="4" numFmtId="1" xfId="0" applyAlignment="1" applyBorder="1" applyFont="1" applyNumberFormat="1">
      <alignment horizontal="center" shrinkToFit="0" wrapText="1"/>
    </xf>
    <xf borderId="0" fillId="0" fontId="2" numFmtId="0" xfId="0" applyAlignment="1" applyFont="1">
      <alignment horizontal="center" shrinkToFit="0" vertical="bottom" wrapText="0"/>
    </xf>
    <xf borderId="56" fillId="0" fontId="4" numFmtId="0" xfId="0" applyAlignment="1" applyBorder="1" applyFont="1">
      <alignment horizontal="center" shrinkToFit="0" wrapText="0"/>
    </xf>
    <xf borderId="57" fillId="2" fontId="3" numFmtId="0" xfId="0" applyAlignment="1" applyBorder="1" applyFill="1" applyFont="1">
      <alignment horizontal="center" shrinkToFit="0" wrapText="1"/>
    </xf>
    <xf borderId="58" fillId="0" fontId="6" numFmtId="0" xfId="0" applyAlignment="1" applyBorder="1" applyFont="1">
      <alignment shrinkToFit="0" vertical="bottom" wrapText="1"/>
    </xf>
    <xf borderId="59" fillId="0" fontId="2" numFmtId="0" xfId="0" applyAlignment="1" applyBorder="1" applyFont="1">
      <alignment horizontal="center" shrinkToFit="0" wrapText="1"/>
    </xf>
    <xf borderId="56" fillId="0" fontId="4" numFmtId="0" xfId="0" applyAlignment="1" applyBorder="1" applyFont="1">
      <alignment horizontal="center" shrinkToFit="0" wrapText="1"/>
    </xf>
    <xf borderId="58" fillId="2" fontId="3" numFmtId="0" xfId="0" applyAlignment="1" applyBorder="1" applyFill="1" applyFont="1">
      <alignment horizontal="center" shrinkToFit="0" wrapText="1"/>
    </xf>
    <xf borderId="59" fillId="0" fontId="4" numFmtId="0" xfId="0" applyAlignment="1" applyBorder="1" applyFont="1">
      <alignment horizontal="center" shrinkToFit="0" wrapText="1"/>
    </xf>
    <xf borderId="57" fillId="0" fontId="4" numFmtId="0" xfId="0" applyAlignment="1" applyBorder="1" applyFont="1">
      <alignment horizontal="center" shrinkToFit="0" wrapText="1"/>
    </xf>
    <xf borderId="58" fillId="0" fontId="4" numFmtId="9" xfId="0" applyAlignment="1" applyBorder="1" applyFont="1" applyNumberFormat="1">
      <alignment horizontal="center" shrinkToFit="0" wrapText="1"/>
    </xf>
    <xf borderId="60" fillId="0" fontId="4" numFmtId="9" xfId="0" applyAlignment="1" applyBorder="1" applyFont="1" applyNumberFormat="1">
      <alignment horizontal="center" shrinkToFit="0" wrapText="1"/>
    </xf>
    <xf borderId="61" fillId="0" fontId="4" numFmtId="0" xfId="0" applyAlignment="1" applyBorder="1" applyFont="1">
      <alignment horizontal="center" shrinkToFit="0" wrapText="1"/>
    </xf>
    <xf borderId="16" fillId="0" fontId="9" numFmtId="0" xfId="0" applyAlignment="1" applyBorder="1" applyFont="1">
      <alignment horizontal="center" shrinkToFit="0" vertical="bottom" wrapText="0"/>
    </xf>
    <xf borderId="17" fillId="0" fontId="5" numFmtId="0" xfId="0" applyAlignment="1" applyBorder="1" applyFont="1">
      <alignment horizontal="center" shrinkToFit="0" wrapText="1"/>
    </xf>
    <xf borderId="17" fillId="0" fontId="2" numFmtId="167" xfId="0" applyAlignment="1" applyBorder="1" applyFont="1" applyNumberFormat="1">
      <alignment horizontal="center" shrinkToFit="0" vertical="bottom" wrapText="0"/>
    </xf>
    <xf borderId="62" fillId="2" fontId="3" numFmtId="0" xfId="0" applyAlignment="1" applyBorder="1" applyFill="1" applyFont="1">
      <alignment horizontal="center" shrinkToFit="0" wrapText="1"/>
    </xf>
    <xf borderId="63" fillId="2" fontId="3" numFmtId="0" xfId="0" applyAlignment="1" applyBorder="1" applyFill="1" applyFont="1">
      <alignment shrinkToFit="0" wrapText="1"/>
    </xf>
    <xf borderId="63" fillId="0" fontId="4" numFmtId="0" xfId="0" applyAlignment="1" applyBorder="1" applyFont="1">
      <alignment horizontal="center" shrinkToFit="0" wrapText="0"/>
    </xf>
    <xf borderId="64" fillId="0" fontId="6" numFmtId="0" xfId="0" applyAlignment="1" applyBorder="1" applyFont="1">
      <alignment shrinkToFit="0" vertical="bottom" wrapText="1"/>
    </xf>
    <xf borderId="17" fillId="0" fontId="2" numFmtId="0" xfId="0" applyAlignment="1" applyBorder="1" applyFont="1">
      <alignment horizontal="center" shrinkToFit="0" wrapText="1"/>
    </xf>
    <xf borderId="62" fillId="0" fontId="4" numFmtId="0" xfId="0" applyAlignment="1" applyBorder="1" applyFont="1">
      <alignment horizontal="center" shrinkToFit="0" wrapText="1"/>
    </xf>
    <xf borderId="63" fillId="2" fontId="3" numFmtId="0" xfId="0" applyAlignment="1" applyBorder="1" applyFill="1" applyFont="1">
      <alignment horizontal="center" shrinkToFit="0" wrapText="1"/>
    </xf>
    <xf borderId="64" fillId="2" fontId="3" numFmtId="0" xfId="0" applyAlignment="1" applyBorder="1" applyFill="1" applyFont="1">
      <alignment horizontal="center" shrinkToFit="0" wrapText="1"/>
    </xf>
    <xf borderId="17" fillId="0" fontId="4" numFmtId="0" xfId="0" applyAlignment="1" applyBorder="1" applyFont="1">
      <alignment horizontal="center" shrinkToFit="0" wrapText="1"/>
    </xf>
    <xf borderId="63" fillId="0" fontId="4" numFmtId="0" xfId="0" applyAlignment="1" applyBorder="1" applyFont="1">
      <alignment horizontal="center" shrinkToFit="0" wrapText="1"/>
    </xf>
    <xf borderId="64" fillId="0" fontId="4" numFmtId="9" xfId="0" applyAlignment="1" applyBorder="1" applyFont="1" applyNumberFormat="1">
      <alignment horizontal="center" shrinkToFit="0" wrapText="1"/>
    </xf>
    <xf borderId="18" fillId="0" fontId="4" numFmtId="9" xfId="0" applyAlignment="1" applyBorder="1" applyFont="1" applyNumberFormat="1">
      <alignment horizontal="center" shrinkToFit="0" wrapText="1"/>
    </xf>
    <xf borderId="0" fillId="0" fontId="16" numFmtId="0" xfId="0" applyAlignment="1" applyFont="1">
      <alignment readingOrder="0" shrinkToFit="0" wrapText="0"/>
    </xf>
    <xf borderId="20" fillId="0" fontId="4" numFmtId="0" xfId="0" applyAlignment="1" applyBorder="1" applyFont="1">
      <alignment horizontal="center" shrinkToFit="0" wrapText="1"/>
    </xf>
    <xf borderId="0" fillId="0" fontId="17" numFmtId="1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left" shrinkToFit="0" vertical="bottom" wrapText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shrinkToFit="0" wrapText="1"/>
    </xf>
    <xf borderId="0" fillId="0" fontId="18" numFmtId="1" xfId="0" applyAlignment="1" applyFont="1" applyNumberFormat="1">
      <alignment shrinkToFit="0" wrapText="1"/>
    </xf>
    <xf borderId="0" fillId="0" fontId="10" numFmtId="1" xfId="0" applyAlignment="1" applyFont="1" applyNumberFormat="1">
      <alignment shrinkToFit="0" wrapText="1"/>
    </xf>
    <xf borderId="0" fillId="0" fontId="18" numFmtId="0" xfId="0" applyAlignment="1" applyFont="1">
      <alignment shrinkToFit="0" wrapText="0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0"/>
    </xf>
    <xf borderId="0" fillId="0" fontId="9" numFmtId="1" xfId="0" applyAlignment="1" applyFont="1" applyNumberFormat="1">
      <alignment horizontal="left" shrinkToFit="0" wrapText="1"/>
    </xf>
    <xf borderId="0" fillId="0" fontId="9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horizontal="center" shrinkToFit="0" wrapText="0"/>
    </xf>
    <xf borderId="0" fillId="0" fontId="21" numFmtId="0" xfId="0" applyAlignment="1" applyFont="1">
      <alignment shrinkToFit="0" wrapText="0"/>
    </xf>
    <xf borderId="0" fillId="2" fontId="22" numFmtId="0" xfId="0" applyAlignment="1" applyFill="1" applyFont="1">
      <alignment shrinkToFit="0" wrapText="0"/>
    </xf>
    <xf borderId="0" fillId="0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shrinkToFit="0" wrapText="1"/>
    </xf>
    <xf borderId="0" fillId="0" fontId="10" numFmtId="0" xfId="0" applyAlignment="1" applyFont="1">
      <alignment readingOrder="0" shrinkToFit="0" wrapText="0"/>
    </xf>
    <xf borderId="0" fillId="0" fontId="26" numFmtId="0" xfId="0" applyAlignment="1" applyFont="1">
      <alignment horizontal="left" shrinkToFit="0" vertical="bottom" wrapText="1"/>
    </xf>
    <xf borderId="0" fillId="0" fontId="27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readingOrder="0" shrinkToFit="0" wrapText="1"/>
    </xf>
    <xf borderId="0" fillId="0" fontId="4" numFmtId="1" xfId="0" applyAlignment="1" applyFont="1" applyNumberFormat="1">
      <alignment horizontal="left" shrinkToFit="0" wrapText="1"/>
    </xf>
    <xf borderId="0" fillId="0" fontId="5" numFmtId="1" xfId="0" applyAlignment="1" applyFont="1" applyNumberFormat="1">
      <alignment horizontal="left" shrinkToFit="0" wrapText="1"/>
    </xf>
    <xf borderId="0" fillId="0" fontId="2" numFmtId="0" xfId="0" applyAlignment="1" applyFont="1">
      <alignment readingOrder="0" shrinkToFit="0" wrapText="0"/>
    </xf>
    <xf borderId="0" fillId="0" fontId="28" numFmtId="1" xfId="0" applyAlignment="1" applyFont="1" applyNumberFormat="1">
      <alignment horizontal="left" shrinkToFit="0" wrapText="1"/>
    </xf>
    <xf borderId="0" fillId="0" fontId="2" numFmtId="0" xfId="0" applyAlignment="1" applyFont="1">
      <alignment readingOrder="0" shrinkToFit="0" wrapText="1"/>
    </xf>
    <xf borderId="0" fillId="0" fontId="2" numFmtId="1" xfId="0" applyAlignment="1" applyFont="1" applyNumberFormat="1">
      <alignment horizontal="left" shrinkToFit="0" wrapText="1"/>
    </xf>
    <xf borderId="0" fillId="0" fontId="29" numFmtId="1" xfId="0" applyAlignment="1" applyFont="1" applyNumberFormat="1">
      <alignment horizontal="left" shrinkToFit="0" wrapText="1"/>
    </xf>
    <xf borderId="0" fillId="0" fontId="28" numFmtId="0" xfId="0" applyAlignment="1" applyFont="1">
      <alignment readingOrder="0" shrinkToFit="0" wrapText="0"/>
    </xf>
    <xf borderId="0" fillId="0" fontId="30" numFmtId="0" xfId="0" applyAlignment="1" applyFont="1">
      <alignment horizontal="right" shrinkToFit="0" wrapText="0"/>
    </xf>
    <xf borderId="0" fillId="0" fontId="31" numFmtId="9" xfId="0" applyAlignment="1" applyFont="1" applyNumberFormat="1">
      <alignment shrinkToFit="0" wrapText="0"/>
    </xf>
    <xf borderId="0" fillId="0" fontId="20" numFmtId="0" xfId="0" applyAlignment="1" applyFont="1">
      <alignment readingOrder="0" shrinkToFit="0" wrapText="1"/>
    </xf>
    <xf borderId="0" fillId="0" fontId="20" numFmtId="9" xfId="0" applyAlignment="1" applyFont="1" applyNumberFormat="1">
      <alignment shrinkToFit="0" wrapText="1"/>
    </xf>
    <xf borderId="0" fillId="0" fontId="32" numFmtId="0" xfId="0" applyAlignment="1" applyFont="1">
      <alignment readingOrder="0" shrinkToFit="0" wrapText="1"/>
    </xf>
    <xf borderId="0" fillId="0" fontId="32" numFmtId="1" xfId="0" applyAlignment="1" applyFont="1" applyNumberFormat="1">
      <alignment readingOrder="0" shrinkToFit="0" wrapText="1"/>
    </xf>
    <xf borderId="0" fillId="0" fontId="20" numFmtId="1" xfId="0" applyAlignment="1" applyFont="1" applyNumberFormat="1">
      <alignment shrinkToFit="0" wrapText="1"/>
    </xf>
    <xf borderId="1" fillId="0" fontId="21" numFmtId="0" xfId="0" applyAlignment="1" applyBorder="1" applyFont="1">
      <alignment shrinkToFit="0" wrapText="0"/>
    </xf>
    <xf borderId="1" fillId="0" fontId="20" numFmtId="0" xfId="0" applyAlignment="1" applyBorder="1" applyFont="1">
      <alignment shrinkToFit="0" wrapText="1"/>
    </xf>
    <xf borderId="2" fillId="0" fontId="20" numFmtId="0" xfId="0" applyAlignment="1" applyBorder="1" applyFont="1">
      <alignment shrinkToFit="0" wrapText="1"/>
    </xf>
    <xf borderId="3" fillId="0" fontId="31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1"/>
    </xf>
    <xf borderId="3" fillId="0" fontId="31" numFmtId="1" xfId="0" applyAlignment="1" applyBorder="1" applyFont="1" applyNumberFormat="1">
      <alignment horizontal="center" shrinkToFit="0" wrapText="0"/>
    </xf>
    <xf borderId="8" fillId="0" fontId="31" numFmtId="1" xfId="0" applyAlignment="1" applyBorder="1" applyFont="1" applyNumberFormat="1">
      <alignment horizontal="center" shrinkToFit="0" wrapText="0"/>
    </xf>
    <xf borderId="3" fillId="0" fontId="6" numFmtId="0" xfId="0" applyAlignment="1" applyBorder="1" applyFont="1">
      <alignment shrinkToFit="0" wrapText="1"/>
    </xf>
    <xf borderId="4" fillId="0" fontId="31" numFmtId="1" xfId="0" applyAlignment="1" applyBorder="1" applyFont="1" applyNumberFormat="1">
      <alignment horizontal="center" shrinkToFit="0" wrapText="0"/>
    </xf>
    <xf borderId="28" fillId="0" fontId="31" numFmtId="1" xfId="0" applyAlignment="1" applyBorder="1" applyFont="1" applyNumberFormat="1">
      <alignment horizontal="center" shrinkToFit="0" wrapText="0"/>
    </xf>
    <xf borderId="0" fillId="0" fontId="31" numFmtId="0" xfId="0" applyAlignment="1" applyFont="1">
      <alignment horizontal="left" shrinkToFit="0" wrapText="0"/>
    </xf>
    <xf borderId="0" fillId="0" fontId="31" numFmtId="1" xfId="0" applyAlignment="1" applyFont="1" applyNumberFormat="1">
      <alignment horizontal="left" shrinkToFit="0" wrapText="0"/>
    </xf>
    <xf borderId="3" fillId="0" fontId="31" numFmtId="9" xfId="0" applyAlignment="1" applyBorder="1" applyFont="1" applyNumberFormat="1">
      <alignment horizontal="center" shrinkToFit="0" wrapText="0"/>
    </xf>
    <xf borderId="0" fillId="0" fontId="33" numFmtId="0" xfId="0" applyAlignment="1" applyFont="1">
      <alignment shrinkToFit="0" wrapText="1"/>
    </xf>
    <xf borderId="3" fillId="0" fontId="31" numFmtId="9" xfId="0" applyAlignment="1" applyBorder="1" applyFont="1" applyNumberFormat="1">
      <alignment shrinkToFit="0" wrapText="0"/>
    </xf>
    <xf borderId="0" fillId="0" fontId="13" numFmtId="0" xfId="0" applyAlignment="1" applyFont="1">
      <alignment shrinkToFit="0" wrapText="0"/>
    </xf>
    <xf borderId="10" fillId="0" fontId="31" numFmtId="9" xfId="0" applyAlignment="1" applyBorder="1" applyFont="1" applyNumberFormat="1">
      <alignment horizontal="center" shrinkToFit="0" wrapText="0"/>
    </xf>
    <xf borderId="10" fillId="0" fontId="20" numFmtId="0" xfId="0" applyAlignment="1" applyBorder="1" applyFont="1">
      <alignment shrinkToFit="0" wrapText="1"/>
    </xf>
    <xf borderId="10" fillId="0" fontId="31" numFmtId="0" xfId="0" applyAlignment="1" applyBorder="1" applyFont="1">
      <alignment horizontal="center" shrinkToFit="0" wrapText="0"/>
    </xf>
    <xf borderId="10" fillId="0" fontId="31" numFmtId="9" xfId="0" applyAlignment="1" applyBorder="1" applyFont="1" applyNumberFormat="1">
      <alignment shrinkToFit="0" wrapText="0"/>
    </xf>
    <xf borderId="0" fillId="0" fontId="34" numFmtId="0" xfId="0" applyAlignment="1" applyFont="1">
      <alignment shrinkToFit="0" wrapText="0"/>
    </xf>
    <xf borderId="0" fillId="0" fontId="31" numFmtId="9" xfId="0" applyAlignment="1" applyFont="1" applyNumberFormat="1">
      <alignment horizontal="center" shrinkToFit="0" wrapText="0"/>
    </xf>
    <xf borderId="0" fillId="0" fontId="31" numFmtId="10" xfId="0" applyAlignment="1" applyFont="1" applyNumberFormat="1">
      <alignment shrinkToFit="0" wrapText="0"/>
    </xf>
    <xf borderId="0" fillId="0" fontId="11" numFmtId="1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wrapText="0"/>
    </xf>
    <xf borderId="0" fillId="0" fontId="31" numFmtId="10" xfId="0" applyAlignment="1" applyFont="1" applyNumberFormat="1">
      <alignment horizontal="center" shrinkToFit="0" wrapText="0"/>
    </xf>
    <xf borderId="0" fillId="0" fontId="31" numFmtId="9" xfId="0" applyAlignment="1" applyFont="1" applyNumberFormat="1">
      <alignment horizontal="left" shrinkToFit="0" wrapText="0"/>
    </xf>
    <xf borderId="0" fillId="0" fontId="11" numFmtId="0" xfId="0" applyAlignment="1" applyFont="1">
      <alignment horizontal="center" shrinkToFit="0" vertical="center" wrapText="0"/>
    </xf>
    <xf borderId="5" fillId="0" fontId="20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7" numFmtId="0" xfId="0" applyAlignment="1" applyFont="1">
      <alignment shrinkToFit="0" wrapText="0"/>
    </xf>
    <xf quotePrefix="1" borderId="0" fillId="0" fontId="7" numFmtId="0" xfId="0" applyAlignment="1" applyFont="1">
      <alignment shrinkToFit="0" wrapText="0"/>
    </xf>
    <xf quotePrefix="1" borderId="0" fillId="0" fontId="5" numFmtId="0" xfId="0" applyAlignment="1" applyFont="1">
      <alignment shrinkToFit="0" wrapText="0"/>
    </xf>
    <xf borderId="0" fillId="0" fontId="31" numFmtId="0" xfId="0" applyAlignment="1" applyFont="1">
      <alignment shrinkToFit="0" wrapText="0"/>
    </xf>
    <xf borderId="0" fillId="0" fontId="31" numFmtId="1" xfId="0" applyAlignment="1" applyFont="1" applyNumberFormat="1">
      <alignment shrinkToFit="0" wrapText="0"/>
    </xf>
    <xf borderId="0" fillId="0" fontId="6" numFmtId="0" xfId="0" applyAlignment="1" applyFont="1">
      <alignment shrinkToFit="0" vertical="bottom" wrapText="1"/>
    </xf>
    <xf borderId="1" fillId="0" fontId="35" numFmtId="10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" fillId="0" fontId="6" numFmtId="0" xfId="0" applyAlignment="1" applyBorder="1" applyFont="1">
      <alignment shrinkToFit="0" vertical="bottom" wrapText="1"/>
    </xf>
    <xf borderId="7" fillId="0" fontId="6" numFmtId="10" xfId="0" applyAlignment="1" applyBorder="1" applyFont="1" applyNumberFormat="1">
      <alignment horizontal="center"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shrinkToFit="0" vertical="bottom" wrapText="1"/>
    </xf>
    <xf borderId="7" fillId="0" fontId="6" numFmtId="1" xfId="0" applyAlignment="1" applyBorder="1" applyFont="1" applyNumberFormat="1">
      <alignment horizontal="center" shrinkToFit="0" vertical="bottom" wrapText="0"/>
    </xf>
    <xf borderId="2" fillId="0" fontId="6" numFmtId="0" xfId="0" applyAlignment="1" applyBorder="1" applyFont="1">
      <alignment shrinkToFit="0" vertical="bottom" wrapText="1"/>
    </xf>
    <xf borderId="7" fillId="0" fontId="6" numFmtId="9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1"/>
    </xf>
    <xf borderId="3" fillId="0" fontId="31" numFmtId="0" xfId="0" applyAlignment="1" applyBorder="1" applyFont="1">
      <alignment horizontal="center" readingOrder="0" shrinkToFit="0" wrapText="0"/>
    </xf>
    <xf borderId="8" fillId="0" fontId="31" numFmtId="0" xfId="0" applyAlignment="1" applyBorder="1" applyFont="1">
      <alignment horizontal="center" shrinkToFit="0" wrapText="0"/>
    </xf>
    <xf borderId="0" fillId="0" fontId="31" numFmtId="0" xfId="0" applyAlignment="1" applyFont="1">
      <alignment horizontal="center" shrinkToFit="0" wrapText="0"/>
    </xf>
    <xf borderId="0" fillId="0" fontId="31" numFmtId="1" xfId="0" applyAlignment="1" applyFont="1" applyNumberFormat="1">
      <alignment horizontal="center" shrinkToFit="0" wrapText="0"/>
    </xf>
    <xf borderId="8" fillId="0" fontId="31" numFmtId="9" xfId="0" applyAlignment="1" applyBorder="1" applyFont="1" applyNumberFormat="1">
      <alignment horizontal="center" shrinkToFit="0" wrapText="0"/>
    </xf>
    <xf borderId="1" fillId="0" fontId="6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shrinkToFit="0" vertical="bottom" wrapText="1"/>
    </xf>
    <xf borderId="5" fillId="0" fontId="31" numFmtId="0" xfId="0" applyAlignment="1" applyBorder="1" applyFont="1">
      <alignment horizontal="center" shrinkToFit="0" wrapText="0"/>
    </xf>
    <xf borderId="2" fillId="0" fontId="31" numFmtId="0" xfId="0" applyAlignment="1" applyBorder="1" applyFont="1">
      <alignment horizontal="center" shrinkToFit="0" wrapText="0"/>
    </xf>
    <xf borderId="4" fillId="0" fontId="31" numFmtId="0" xfId="0" applyAlignment="1" applyBorder="1" applyFont="1">
      <alignment horizontal="center" shrinkToFit="0" wrapText="0"/>
    </xf>
    <xf borderId="5" fillId="0" fontId="31" numFmtId="1" xfId="0" applyAlignment="1" applyBorder="1" applyFont="1" applyNumberFormat="1">
      <alignment horizontal="center" shrinkToFit="0" wrapText="0"/>
    </xf>
    <xf borderId="2" fillId="0" fontId="31" numFmtId="1" xfId="0" applyAlignment="1" applyBorder="1" applyFont="1" applyNumberFormat="1">
      <alignment horizontal="center" shrinkToFit="0" wrapText="0"/>
    </xf>
    <xf borderId="0" fillId="0" fontId="36" numFmtId="0" xfId="0" applyAlignment="1" applyFont="1">
      <alignment shrinkToFit="0" wrapText="1"/>
    </xf>
    <xf borderId="8" fillId="0" fontId="31" numFmtId="9" xfId="0" applyAlignment="1" applyBorder="1" applyFont="1" applyNumberFormat="1">
      <alignment shrinkToFit="0" wrapText="0"/>
    </xf>
    <xf borderId="0" fillId="0" fontId="35" numFmtId="10" xfId="0" applyAlignment="1" applyFont="1" applyNumberFormat="1">
      <alignment shrinkToFit="0" vertical="bottom" wrapText="0"/>
    </xf>
    <xf borderId="0" fillId="0" fontId="6" numFmtId="10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1" xfId="0" applyAlignment="1" applyFont="1" applyNumberFormat="1">
      <alignment horizontal="center" shrinkToFit="0" vertical="bottom" wrapText="0"/>
    </xf>
    <xf borderId="0" fillId="0" fontId="6" numFmtId="9" xfId="0" applyAlignment="1" applyFont="1" applyNumberFormat="1">
      <alignment horizontal="center" shrinkToFit="0" vertical="bottom" wrapText="0"/>
    </xf>
    <xf borderId="0" fillId="0" fontId="37" numFmtId="0" xfId="0" applyAlignment="1" applyFont="1">
      <alignment shrinkToFit="0" wrapText="0"/>
    </xf>
    <xf borderId="0" fillId="0" fontId="38" numFmtId="0" xfId="0" applyAlignment="1" applyFont="1">
      <alignment readingOrder="0" shrinkToFit="0" wrapText="0"/>
    </xf>
    <xf borderId="0" fillId="0" fontId="39" numFmtId="0" xfId="0" applyAlignment="1" applyFont="1">
      <alignment shrinkToFit="0" wrapText="1"/>
    </xf>
    <xf borderId="0" fillId="0" fontId="40" numFmtId="0" xfId="0" applyAlignment="1" applyFont="1">
      <alignment shrinkToFit="0" wrapText="1"/>
    </xf>
    <xf borderId="0" fillId="3" fontId="41" numFmtId="0" xfId="0" applyAlignment="1" applyFill="1" applyFont="1">
      <alignment horizontal="center" shrinkToFit="0" wrapText="1"/>
    </xf>
    <xf borderId="0" fillId="4" fontId="41" numFmtId="0" xfId="0" applyAlignment="1" applyFill="1" applyFont="1">
      <alignment horizontal="center" shrinkToFit="0" wrapText="1"/>
    </xf>
    <xf borderId="0" fillId="0" fontId="10" numFmtId="0" xfId="0" applyAlignment="1" applyFont="1">
      <alignment horizontal="left" shrinkToFit="0" wrapText="1"/>
    </xf>
    <xf borderId="0" fillId="0" fontId="41" numFmtId="1" xfId="0" applyAlignment="1" applyFont="1" applyNumberFormat="1">
      <alignment horizontal="center" shrinkToFit="0" wrapText="1"/>
    </xf>
    <xf borderId="0" fillId="0" fontId="7" numFmtId="1" xfId="0" applyAlignment="1" applyFont="1" applyNumberFormat="1">
      <alignment horizontal="center" shrinkToFit="0" wrapText="1"/>
    </xf>
    <xf borderId="0" fillId="0" fontId="7" numFmtId="1" xfId="0" applyAlignment="1" applyFont="1" applyNumberFormat="1">
      <alignment horizontal="center" readingOrder="0" shrinkToFit="0" wrapText="1"/>
    </xf>
    <xf borderId="0" fillId="0" fontId="13" numFmtId="0" xfId="0" applyAlignment="1" applyFont="1">
      <alignment horizontal="left" shrinkToFit="0" wrapText="1"/>
    </xf>
    <xf borderId="0" fillId="0" fontId="42" numFmtId="0" xfId="0" applyAlignment="1" applyFont="1">
      <alignment horizontal="center" shrinkToFit="0" wrapText="1"/>
    </xf>
    <xf borderId="0" fillId="0" fontId="21" numFmtId="1" xfId="0" applyAlignment="1" applyFont="1" applyNumberFormat="1">
      <alignment horizontal="center" shrinkToFit="0" wrapText="0"/>
    </xf>
    <xf borderId="0" fillId="0" fontId="20" numFmtId="0" xfId="0" applyAlignment="1" applyFont="1">
      <alignment shrinkToFit="0" wrapText="0"/>
    </xf>
    <xf borderId="0" fillId="0" fontId="6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0"/>
    </xf>
    <xf borderId="5" fillId="0" fontId="31" numFmtId="0" xfId="0" applyAlignment="1" applyBorder="1" applyFont="1">
      <alignment shrinkToFit="0" wrapText="0"/>
    </xf>
    <xf borderId="0" fillId="0" fontId="37" numFmtId="1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Squadra!$B$18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Squadra!$B$19</c:f>
              <c:numCache/>
            </c:numRef>
          </c:val>
        </c:ser>
        <c:ser>
          <c:idx val="1"/>
          <c:order val="1"/>
          <c:tx>
            <c:strRef>
              <c:f>Squadra!$C$18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Squadra!$C$19</c:f>
              <c:numCache/>
            </c:numRef>
          </c:val>
        </c:ser>
        <c:ser>
          <c:idx val="2"/>
          <c:order val="2"/>
          <c:tx>
            <c:strRef>
              <c:f>Squadra!$D$18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Squadra!$D$19</c:f>
              <c:numCache/>
            </c:numRef>
          </c:val>
        </c:ser>
        <c:ser>
          <c:idx val="3"/>
          <c:order val="3"/>
          <c:tx>
            <c:strRef>
              <c:f>Squadra!$E$18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Squadra!$E$19</c:f>
              <c:numCache/>
            </c:numRef>
          </c:val>
        </c:ser>
        <c:ser>
          <c:idx val="4"/>
          <c:order val="4"/>
          <c:tx>
            <c:strRef>
              <c:f>Squadra!$F$18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Squadra!$F$19</c:f>
              <c:numCache/>
            </c:numRef>
          </c:val>
        </c:ser>
        <c:ser>
          <c:idx val="5"/>
          <c:order val="5"/>
          <c:tx>
            <c:strRef>
              <c:f>Squadra!$G$18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Squadra!$G$19</c:f>
              <c:numCache/>
            </c:numRef>
          </c:val>
        </c:ser>
        <c:overlap val="100"/>
        <c:axId val="1464015538"/>
        <c:axId val="1478920458"/>
      </c:barChart>
      <c:catAx>
        <c:axId val="14640155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8920458"/>
      </c:catAx>
      <c:valAx>
        <c:axId val="14789204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0155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Squadra!$B$26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Squadra!$B$27</c:f>
              <c:numCache/>
            </c:numRef>
          </c:val>
        </c:ser>
        <c:ser>
          <c:idx val="1"/>
          <c:order val="1"/>
          <c:tx>
            <c:strRef>
              <c:f>Squadra!$C$26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Squadra!$C$27</c:f>
              <c:numCache/>
            </c:numRef>
          </c:val>
        </c:ser>
        <c:ser>
          <c:idx val="2"/>
          <c:order val="2"/>
          <c:tx>
            <c:strRef>
              <c:f>Squadra!$D$26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Squadra!$D$27</c:f>
              <c:numCache/>
            </c:numRef>
          </c:val>
        </c:ser>
        <c:ser>
          <c:idx val="3"/>
          <c:order val="3"/>
          <c:tx>
            <c:strRef>
              <c:f>Squadra!$E$26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Squadra!$E$27</c:f>
              <c:numCache/>
            </c:numRef>
          </c:val>
        </c:ser>
        <c:ser>
          <c:idx val="4"/>
          <c:order val="4"/>
          <c:tx>
            <c:strRef>
              <c:f>Squadra!$F$26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Squadra!$F$27</c:f>
              <c:numCache/>
            </c:numRef>
          </c:val>
        </c:ser>
        <c:ser>
          <c:idx val="5"/>
          <c:order val="5"/>
          <c:tx>
            <c:strRef>
              <c:f>Squadra!$G$26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Squadra!$G$27</c:f>
              <c:numCache/>
            </c:numRef>
          </c:val>
        </c:ser>
        <c:overlap val="100"/>
        <c:axId val="1454661741"/>
        <c:axId val="249751119"/>
      </c:barChart>
      <c:catAx>
        <c:axId val="14546617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751119"/>
      </c:catAx>
      <c:valAx>
        <c:axId val="249751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6617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Squadra!$B$11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Squadra!$B$12</c:f>
              <c:numCache/>
            </c:numRef>
          </c:val>
        </c:ser>
        <c:ser>
          <c:idx val="1"/>
          <c:order val="1"/>
          <c:tx>
            <c:strRef>
              <c:f>Squadra!$C$11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Squadra!$C$12</c:f>
              <c:numCache/>
            </c:numRef>
          </c:val>
        </c:ser>
        <c:ser>
          <c:idx val="2"/>
          <c:order val="2"/>
          <c:tx>
            <c:strRef>
              <c:f>Squadra!$D$11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Squadra!$D$12</c:f>
              <c:numCache/>
            </c:numRef>
          </c:val>
        </c:ser>
        <c:ser>
          <c:idx val="3"/>
          <c:order val="3"/>
          <c:tx>
            <c:strRef>
              <c:f>Squadra!$E$11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Squadra!$E$12</c:f>
              <c:numCache/>
            </c:numRef>
          </c:val>
        </c:ser>
        <c:ser>
          <c:idx val="4"/>
          <c:order val="4"/>
          <c:tx>
            <c:strRef>
              <c:f>Squadra!$F$11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Squadra!$F$12</c:f>
              <c:numCache/>
            </c:numRef>
          </c:val>
        </c:ser>
        <c:ser>
          <c:idx val="5"/>
          <c:order val="5"/>
          <c:tx>
            <c:strRef>
              <c:f>Squadra!$G$11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Squadra!$G$12</c:f>
              <c:numCache/>
            </c:numRef>
          </c:val>
        </c:ser>
        <c:overlap val="100"/>
        <c:axId val="276797124"/>
        <c:axId val="1470153465"/>
      </c:barChart>
      <c:catAx>
        <c:axId val="2767971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153465"/>
      </c:catAx>
      <c:valAx>
        <c:axId val="1470153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7971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Squadra!$B$18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Squadra!$B$19</c:f>
              <c:numCache/>
            </c:numRef>
          </c:val>
        </c:ser>
        <c:ser>
          <c:idx val="1"/>
          <c:order val="1"/>
          <c:tx>
            <c:strRef>
              <c:f>Squadra!$C$18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Squadra!$C$19</c:f>
              <c:numCache/>
            </c:numRef>
          </c:val>
        </c:ser>
        <c:ser>
          <c:idx val="2"/>
          <c:order val="2"/>
          <c:tx>
            <c:strRef>
              <c:f>Squadra!$D$18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Squadra!$D$19</c:f>
              <c:numCache/>
            </c:numRef>
          </c:val>
        </c:ser>
        <c:ser>
          <c:idx val="3"/>
          <c:order val="3"/>
          <c:tx>
            <c:strRef>
              <c:f>Squadra!$E$18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Squadra!$E$19</c:f>
              <c:numCache/>
            </c:numRef>
          </c:val>
        </c:ser>
        <c:ser>
          <c:idx val="4"/>
          <c:order val="4"/>
          <c:tx>
            <c:strRef>
              <c:f>Squadra!$F$18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Squadra!$F$19</c:f>
              <c:numCache/>
            </c:numRef>
          </c:val>
        </c:ser>
        <c:ser>
          <c:idx val="5"/>
          <c:order val="5"/>
          <c:tx>
            <c:strRef>
              <c:f>Squadra!$G$18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Squadra!$G$19</c:f>
              <c:numCache/>
            </c:numRef>
          </c:val>
        </c:ser>
        <c:axId val="192457508"/>
        <c:axId val="260952923"/>
      </c:barChart>
      <c:catAx>
        <c:axId val="192457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952923"/>
      </c:catAx>
      <c:valAx>
        <c:axId val="260952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57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Squadra!$B$11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Squadra!$B$12</c:f>
              <c:numCache/>
            </c:numRef>
          </c:val>
        </c:ser>
        <c:ser>
          <c:idx val="1"/>
          <c:order val="1"/>
          <c:tx>
            <c:strRef>
              <c:f>Squadra!$C$11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Squadra!$C$12</c:f>
              <c:numCache/>
            </c:numRef>
          </c:val>
        </c:ser>
        <c:ser>
          <c:idx val="2"/>
          <c:order val="2"/>
          <c:tx>
            <c:strRef>
              <c:f>Squadra!$D$11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Squadra!$D$12</c:f>
              <c:numCache/>
            </c:numRef>
          </c:val>
        </c:ser>
        <c:ser>
          <c:idx val="3"/>
          <c:order val="3"/>
          <c:tx>
            <c:strRef>
              <c:f>Squadra!$E$11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Squadra!$E$12</c:f>
              <c:numCache/>
            </c:numRef>
          </c:val>
        </c:ser>
        <c:ser>
          <c:idx val="4"/>
          <c:order val="4"/>
          <c:tx>
            <c:strRef>
              <c:f>Squadra!$F$11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Squadra!$F$12</c:f>
              <c:numCache/>
            </c:numRef>
          </c:val>
        </c:ser>
        <c:ser>
          <c:idx val="5"/>
          <c:order val="5"/>
          <c:tx>
            <c:strRef>
              <c:f>Squadra!$G$11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Squadra!$G$12</c:f>
              <c:numCache/>
            </c:numRef>
          </c:val>
        </c:ser>
        <c:axId val="1888763496"/>
        <c:axId val="647570718"/>
      </c:barChart>
      <c:catAx>
        <c:axId val="1888763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570718"/>
      </c:catAx>
      <c:valAx>
        <c:axId val="647570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763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Squadra!$B$26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Squadra!$B$27</c:f>
              <c:numCache/>
            </c:numRef>
          </c:val>
        </c:ser>
        <c:ser>
          <c:idx val="1"/>
          <c:order val="1"/>
          <c:tx>
            <c:strRef>
              <c:f>Squadra!$C$26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Squadra!$C$27</c:f>
              <c:numCache/>
            </c:numRef>
          </c:val>
        </c:ser>
        <c:ser>
          <c:idx val="2"/>
          <c:order val="2"/>
          <c:tx>
            <c:strRef>
              <c:f>Squadra!$D$26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Squadra!$D$27</c:f>
              <c:numCache/>
            </c:numRef>
          </c:val>
        </c:ser>
        <c:ser>
          <c:idx val="3"/>
          <c:order val="3"/>
          <c:tx>
            <c:strRef>
              <c:f>Squadra!$E$26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Squadra!$E$27</c:f>
              <c:numCache/>
            </c:numRef>
          </c:val>
        </c:ser>
        <c:ser>
          <c:idx val="4"/>
          <c:order val="4"/>
          <c:tx>
            <c:strRef>
              <c:f>Squadra!$F$26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Squadra!$F$27</c:f>
              <c:numCache/>
            </c:numRef>
          </c:val>
        </c:ser>
        <c:ser>
          <c:idx val="5"/>
          <c:order val="5"/>
          <c:tx>
            <c:strRef>
              <c:f>Squadra!$G$26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Squadra!$G$27</c:f>
              <c:numCache/>
            </c:numRef>
          </c:val>
        </c:ser>
        <c:axId val="1967184890"/>
        <c:axId val="467463174"/>
      </c:barChart>
      <c:catAx>
        <c:axId val="1967184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463174"/>
      </c:catAx>
      <c:valAx>
        <c:axId val="4674631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184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Dove sono stati fatti i punti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8E7CC3"/>
              </a:solidFill>
            </c:spPr>
          </c:dPt>
          <c:dPt>
            <c:idx val="1"/>
            <c:spPr>
              <a:solidFill>
                <a:srgbClr val="45818E"/>
              </a:solidFill>
            </c:spPr>
          </c:dPt>
          <c:dPt>
            <c:idx val="2"/>
            <c:spPr>
              <a:solidFill>
                <a:srgbClr val="EA9999"/>
              </a:solidFill>
            </c:spPr>
          </c:dPt>
          <c:dPt>
            <c:idx val="3"/>
            <c:spPr>
              <a:solidFill>
                <a:srgbClr val="D9D9D9"/>
              </a:solidFill>
            </c:spPr>
          </c:dPt>
          <c:dPt>
            <c:idx val="4"/>
            <c:spPr>
              <a:solidFill>
                <a:srgbClr val="CCCCC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'Vinti-Persi Squadra'!$A$4:$A$8</c:f>
            </c:strRef>
          </c:cat>
          <c:val>
            <c:numRef>
              <c:f>'Vinti-Persi Squadra'!$B$4:$B$8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'Statistiche GIoc'!$B$59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'Statistiche GIoc'!$B$60</c:f>
              <c:numCache/>
            </c:numRef>
          </c:val>
        </c:ser>
        <c:ser>
          <c:idx val="1"/>
          <c:order val="1"/>
          <c:tx>
            <c:strRef>
              <c:f>'Statistiche GIoc'!$C$59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'Statistiche GIoc'!$C$60</c:f>
              <c:numCache/>
            </c:numRef>
          </c:val>
        </c:ser>
        <c:ser>
          <c:idx val="2"/>
          <c:order val="2"/>
          <c:tx>
            <c:strRef>
              <c:f>'Statistiche GIoc'!$D$59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'Statistiche GIoc'!$D$60</c:f>
              <c:numCache/>
            </c:numRef>
          </c:val>
        </c:ser>
        <c:ser>
          <c:idx val="3"/>
          <c:order val="3"/>
          <c:tx>
            <c:strRef>
              <c:f>'Statistiche GIoc'!$E$59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'Statistiche GIoc'!$E$60</c:f>
              <c:numCache/>
            </c:numRef>
          </c:val>
        </c:ser>
        <c:ser>
          <c:idx val="4"/>
          <c:order val="4"/>
          <c:tx>
            <c:strRef>
              <c:f>'Statistiche GIoc'!$F$59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'Statistiche GIoc'!$F$60</c:f>
              <c:numCache/>
            </c:numRef>
          </c:val>
        </c:ser>
        <c:ser>
          <c:idx val="5"/>
          <c:order val="5"/>
          <c:tx>
            <c:strRef>
              <c:f>'Statistiche GIoc'!$G$59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'Statistiche GIoc'!$G$60</c:f>
              <c:numCache/>
            </c:numRef>
          </c:val>
        </c:ser>
        <c:axId val="336141468"/>
        <c:axId val="1371555854"/>
      </c:barChart>
      <c:catAx>
        <c:axId val="336141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555854"/>
      </c:catAx>
      <c:valAx>
        <c:axId val="1371555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141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ottenuto i punti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FFFF99"/>
              </a:solidFill>
            </c:spPr>
          </c:dPt>
          <c:dPt>
            <c:idx val="4"/>
            <c:spPr>
              <a:solidFill>
                <a:srgbClr val="FFB6C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'Statistiche GIoc'!$S$17:$S$21</c:f>
            </c:strRef>
          </c:cat>
          <c:val>
            <c:numRef>
              <c:f>'Statistiche GIoc'!$T$17:$T$21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'Statistiche GIoc'!$T$16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'Statistiche GIoc'!$S$17:$S$21</c:f>
            </c:strRef>
          </c:cat>
          <c:val>
            <c:numRef>
              <c:f>'Statistiche GIoc'!$T$17:$T$21</c:f>
              <c:numCache/>
            </c:numRef>
          </c:val>
        </c:ser>
        <c:ser>
          <c:idx val="1"/>
          <c:order val="1"/>
          <c:tx>
            <c:strRef>
              <c:f>'Statistiche GIoc'!$U$16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'Statistiche GIoc'!$S$17:$S$21</c:f>
            </c:strRef>
          </c:cat>
          <c:val>
            <c:numRef>
              <c:f>'Statistiche GIoc'!$U$17:$U$21</c:f>
              <c:numCache/>
            </c:numRef>
          </c:val>
        </c:ser>
        <c:overlap val="100"/>
        <c:axId val="1663022144"/>
        <c:axId val="194135987"/>
      </c:barChart>
      <c:catAx>
        <c:axId val="1663022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35987"/>
      </c:catAx>
      <c:valAx>
        <c:axId val="194135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022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'Statistiche GIoc'!$B$52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'Statistiche GIoc'!$B$53</c:f>
              <c:numCache/>
            </c:numRef>
          </c:val>
        </c:ser>
        <c:ser>
          <c:idx val="1"/>
          <c:order val="1"/>
          <c:tx>
            <c:strRef>
              <c:f>'Statistiche GIoc'!$C$52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'Statistiche GIoc'!$C$53</c:f>
              <c:numCache/>
            </c:numRef>
          </c:val>
        </c:ser>
        <c:ser>
          <c:idx val="2"/>
          <c:order val="2"/>
          <c:tx>
            <c:strRef>
              <c:f>'Statistiche GIoc'!$D$52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'Statistiche GIoc'!$D$53</c:f>
              <c:numCache/>
            </c:numRef>
          </c:val>
        </c:ser>
        <c:ser>
          <c:idx val="3"/>
          <c:order val="3"/>
          <c:tx>
            <c:strRef>
              <c:f>'Statistiche GIoc'!$E$52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'Statistiche GIoc'!$E$53</c:f>
              <c:numCache/>
            </c:numRef>
          </c:val>
        </c:ser>
        <c:ser>
          <c:idx val="4"/>
          <c:order val="4"/>
          <c:tx>
            <c:strRef>
              <c:f>'Statistiche GIoc'!$F$52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'Statistiche GIoc'!$F$53</c:f>
              <c:numCache/>
            </c:numRef>
          </c:val>
        </c:ser>
        <c:ser>
          <c:idx val="5"/>
          <c:order val="5"/>
          <c:tx>
            <c:strRef>
              <c:f>'Statistiche GIoc'!$G$52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'Statistiche GIoc'!$G$53</c:f>
              <c:numCache/>
            </c:numRef>
          </c:val>
        </c:ser>
        <c:overlap val="100"/>
        <c:axId val="1700594266"/>
        <c:axId val="1622572041"/>
      </c:barChart>
      <c:catAx>
        <c:axId val="17005942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572041"/>
      </c:catAx>
      <c:valAx>
        <c:axId val="16225720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5942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'Statistiche GIoc'!$L$52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'Statistiche GIoc'!$L$53</c:f>
              <c:numCache/>
            </c:numRef>
          </c:val>
        </c:ser>
        <c:ser>
          <c:idx val="1"/>
          <c:order val="1"/>
          <c:tx>
            <c:strRef>
              <c:f>'Statistiche GIoc'!$M$52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'Statistiche GIoc'!$M$53</c:f>
              <c:numCache/>
            </c:numRef>
          </c:val>
        </c:ser>
        <c:ser>
          <c:idx val="2"/>
          <c:order val="2"/>
          <c:tx>
            <c:strRef>
              <c:f>'Statistiche GIoc'!$N$52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'Statistiche GIoc'!$N$53</c:f>
              <c:numCache/>
            </c:numRef>
          </c:val>
        </c:ser>
        <c:ser>
          <c:idx val="3"/>
          <c:order val="3"/>
          <c:tx>
            <c:strRef>
              <c:f>'Statistiche GIoc'!$O$52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'Statistiche GIoc'!$O$53</c:f>
              <c:numCache/>
            </c:numRef>
          </c:val>
        </c:ser>
        <c:ser>
          <c:idx val="4"/>
          <c:order val="4"/>
          <c:tx>
            <c:strRef>
              <c:f>'Statistiche GIoc'!$P$52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'Statistiche GIoc'!$P$53</c:f>
              <c:numCache/>
            </c:numRef>
          </c:val>
        </c:ser>
        <c:ser>
          <c:idx val="5"/>
          <c:order val="5"/>
          <c:tx>
            <c:strRef>
              <c:f>'Statistiche GIoc'!$Q$52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'Statistiche GIoc'!$Q$53</c:f>
              <c:numCache/>
            </c:numRef>
          </c:val>
        </c:ser>
        <c:overlap val="100"/>
        <c:axId val="1207435964"/>
        <c:axId val="875048469"/>
      </c:barChart>
      <c:catAx>
        <c:axId val="12074359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048469"/>
      </c:catAx>
      <c:valAx>
        <c:axId val="8750484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4359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A'!$B$5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A'!$B$6</c:f>
              <c:numCache/>
            </c:numRef>
          </c:val>
        </c:ser>
        <c:ser>
          <c:idx val="1"/>
          <c:order val="1"/>
          <c:tx>
            <c:strRef>
              <c:f>'Gioc A'!$C$5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A'!$C$6</c:f>
              <c:numCache/>
            </c:numRef>
          </c:val>
        </c:ser>
        <c:ser>
          <c:idx val="2"/>
          <c:order val="2"/>
          <c:tx>
            <c:strRef>
              <c:f>'Gioc A'!$D$5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A'!$D$6</c:f>
              <c:numCache/>
            </c:numRef>
          </c:val>
        </c:ser>
        <c:ser>
          <c:idx val="3"/>
          <c:order val="3"/>
          <c:tx>
            <c:strRef>
              <c:f>'Gioc A'!$E$5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A'!$E$6</c:f>
              <c:numCache/>
            </c:numRef>
          </c:val>
        </c:ser>
        <c:ser>
          <c:idx val="4"/>
          <c:order val="4"/>
          <c:tx>
            <c:strRef>
              <c:f>'Gioc A'!$F$5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A'!$F$6</c:f>
              <c:numCache/>
            </c:numRef>
          </c:val>
        </c:ser>
        <c:ser>
          <c:idx val="5"/>
          <c:order val="5"/>
          <c:tx>
            <c:strRef>
              <c:f>'Gioc A'!$G$5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A'!$G$6</c:f>
              <c:numCache/>
            </c:numRef>
          </c:val>
        </c:ser>
        <c:axId val="49257856"/>
        <c:axId val="193836631"/>
      </c:barChart>
      <c:catAx>
        <c:axId val="4925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36631"/>
      </c:catAx>
      <c:valAx>
        <c:axId val="193836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578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A'!$B$12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A'!$B$13</c:f>
              <c:numCache/>
            </c:numRef>
          </c:val>
        </c:ser>
        <c:ser>
          <c:idx val="1"/>
          <c:order val="1"/>
          <c:tx>
            <c:strRef>
              <c:f>'Gioc A'!$C$12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A'!$C$13</c:f>
              <c:numCache/>
            </c:numRef>
          </c:val>
        </c:ser>
        <c:ser>
          <c:idx val="2"/>
          <c:order val="2"/>
          <c:tx>
            <c:strRef>
              <c:f>'Gioc A'!$D$12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A'!$D$13</c:f>
              <c:numCache/>
            </c:numRef>
          </c:val>
        </c:ser>
        <c:ser>
          <c:idx val="3"/>
          <c:order val="3"/>
          <c:tx>
            <c:strRef>
              <c:f>'Gioc A'!$E$12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A'!$E$13</c:f>
              <c:numCache/>
            </c:numRef>
          </c:val>
        </c:ser>
        <c:ser>
          <c:idx val="4"/>
          <c:order val="4"/>
          <c:tx>
            <c:strRef>
              <c:f>'Gioc A'!$F$12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A'!$F$13</c:f>
              <c:numCache/>
            </c:numRef>
          </c:val>
        </c:ser>
        <c:ser>
          <c:idx val="5"/>
          <c:order val="5"/>
          <c:tx>
            <c:strRef>
              <c:f>'Gioc A'!$G$12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A'!$G$13</c:f>
              <c:numCache/>
            </c:numRef>
          </c:val>
        </c:ser>
        <c:axId val="1217189448"/>
        <c:axId val="2042999019"/>
      </c:barChart>
      <c:catAx>
        <c:axId val="1217189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999019"/>
      </c:catAx>
      <c:valAx>
        <c:axId val="2042999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189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A'!$B$19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A'!$B$20</c:f>
              <c:numCache/>
            </c:numRef>
          </c:val>
        </c:ser>
        <c:ser>
          <c:idx val="1"/>
          <c:order val="1"/>
          <c:tx>
            <c:strRef>
              <c:f>'Gioc A'!$C$19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A'!$C$20</c:f>
              <c:numCache/>
            </c:numRef>
          </c:val>
        </c:ser>
        <c:ser>
          <c:idx val="2"/>
          <c:order val="2"/>
          <c:tx>
            <c:strRef>
              <c:f>'Gioc A'!$D$19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A'!$D$20</c:f>
              <c:numCache/>
            </c:numRef>
          </c:val>
        </c:ser>
        <c:ser>
          <c:idx val="3"/>
          <c:order val="3"/>
          <c:tx>
            <c:strRef>
              <c:f>'Gioc A'!$E$19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A'!$E$20</c:f>
              <c:numCache/>
            </c:numRef>
          </c:val>
        </c:ser>
        <c:ser>
          <c:idx val="4"/>
          <c:order val="4"/>
          <c:tx>
            <c:strRef>
              <c:f>'Gioc A'!$F$19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A'!$F$20</c:f>
              <c:numCache/>
            </c:numRef>
          </c:val>
        </c:ser>
        <c:ser>
          <c:idx val="5"/>
          <c:order val="5"/>
          <c:tx>
            <c:strRef>
              <c:f>'Gioc A'!$G$19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A'!$G$20</c:f>
              <c:numCache/>
            </c:numRef>
          </c:val>
        </c:ser>
        <c:axId val="816186177"/>
        <c:axId val="2143516802"/>
      </c:barChart>
      <c:catAx>
        <c:axId val="816186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516802"/>
      </c:catAx>
      <c:valAx>
        <c:axId val="2143516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186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FFFF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A'!$AL$32:$AL$35</c:f>
            </c:strRef>
          </c:cat>
          <c:val>
            <c:numRef>
              <c:f>'Gioc A'!$AM$32:$AM$35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'Gioc A'!$AM$31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A'!$AL$32:$AL$35</c:f>
            </c:strRef>
          </c:cat>
          <c:val>
            <c:numRef>
              <c:f>'Gioc A'!$AM$32:$AM$35</c:f>
              <c:numCache/>
            </c:numRef>
          </c:val>
        </c:ser>
        <c:ser>
          <c:idx val="1"/>
          <c:order val="1"/>
          <c:tx>
            <c:strRef>
              <c:f>'Gioc A'!$AN$31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A'!$AL$32:$AL$35</c:f>
            </c:strRef>
          </c:cat>
          <c:val>
            <c:numRef>
              <c:f>'Gioc A'!$AN$32:$AN$35</c:f>
              <c:numCache/>
            </c:numRef>
          </c:val>
        </c:ser>
        <c:overlap val="100"/>
        <c:axId val="1914008860"/>
        <c:axId val="1586180030"/>
      </c:barChart>
      <c:catAx>
        <c:axId val="1914008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180030"/>
      </c:catAx>
      <c:valAx>
        <c:axId val="15861800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008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B'!$B$5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B'!$B$6</c:f>
              <c:numCache/>
            </c:numRef>
          </c:val>
        </c:ser>
        <c:ser>
          <c:idx val="1"/>
          <c:order val="1"/>
          <c:tx>
            <c:strRef>
              <c:f>'Gioc B'!$C$5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B'!$C$6</c:f>
              <c:numCache/>
            </c:numRef>
          </c:val>
        </c:ser>
        <c:ser>
          <c:idx val="2"/>
          <c:order val="2"/>
          <c:tx>
            <c:strRef>
              <c:f>'Gioc B'!$D$5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B'!$D$6</c:f>
              <c:numCache/>
            </c:numRef>
          </c:val>
        </c:ser>
        <c:ser>
          <c:idx val="3"/>
          <c:order val="3"/>
          <c:tx>
            <c:strRef>
              <c:f>'Gioc B'!$E$5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B'!$E$6</c:f>
              <c:numCache/>
            </c:numRef>
          </c:val>
        </c:ser>
        <c:ser>
          <c:idx val="4"/>
          <c:order val="4"/>
          <c:tx>
            <c:strRef>
              <c:f>'Gioc B'!$F$5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B'!$F$6</c:f>
              <c:numCache/>
            </c:numRef>
          </c:val>
        </c:ser>
        <c:ser>
          <c:idx val="5"/>
          <c:order val="5"/>
          <c:tx>
            <c:strRef>
              <c:f>'Gioc B'!$G$5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B'!$G$6</c:f>
              <c:numCache/>
            </c:numRef>
          </c:val>
        </c:ser>
        <c:axId val="1300014511"/>
        <c:axId val="1555306386"/>
      </c:barChart>
      <c:catAx>
        <c:axId val="1300014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306386"/>
      </c:catAx>
      <c:valAx>
        <c:axId val="1555306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014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B'!$B$12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B'!$B$13</c:f>
              <c:numCache/>
            </c:numRef>
          </c:val>
        </c:ser>
        <c:ser>
          <c:idx val="1"/>
          <c:order val="1"/>
          <c:tx>
            <c:strRef>
              <c:f>'Gioc B'!$C$12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B'!$C$13</c:f>
              <c:numCache/>
            </c:numRef>
          </c:val>
        </c:ser>
        <c:ser>
          <c:idx val="2"/>
          <c:order val="2"/>
          <c:tx>
            <c:strRef>
              <c:f>'Gioc B'!$D$12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B'!$D$13</c:f>
              <c:numCache/>
            </c:numRef>
          </c:val>
        </c:ser>
        <c:ser>
          <c:idx val="3"/>
          <c:order val="3"/>
          <c:tx>
            <c:strRef>
              <c:f>'Gioc B'!$E$12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B'!$E$13</c:f>
              <c:numCache/>
            </c:numRef>
          </c:val>
        </c:ser>
        <c:ser>
          <c:idx val="4"/>
          <c:order val="4"/>
          <c:tx>
            <c:strRef>
              <c:f>'Gioc B'!$F$12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B'!$F$13</c:f>
              <c:numCache/>
            </c:numRef>
          </c:val>
        </c:ser>
        <c:ser>
          <c:idx val="5"/>
          <c:order val="5"/>
          <c:tx>
            <c:strRef>
              <c:f>'Gioc B'!$G$12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B'!$G$13</c:f>
              <c:numCache/>
            </c:numRef>
          </c:val>
        </c:ser>
        <c:axId val="1055561761"/>
        <c:axId val="1917689051"/>
      </c:barChart>
      <c:catAx>
        <c:axId val="1055561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689051"/>
      </c:catAx>
      <c:valAx>
        <c:axId val="1917689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5617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B'!$B$19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B'!$B$20</c:f>
              <c:numCache/>
            </c:numRef>
          </c:val>
        </c:ser>
        <c:ser>
          <c:idx val="1"/>
          <c:order val="1"/>
          <c:tx>
            <c:strRef>
              <c:f>'Gioc B'!$C$19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B'!$C$20</c:f>
              <c:numCache/>
            </c:numRef>
          </c:val>
        </c:ser>
        <c:ser>
          <c:idx val="2"/>
          <c:order val="2"/>
          <c:tx>
            <c:strRef>
              <c:f>'Gioc B'!$D$19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B'!$D$20</c:f>
              <c:numCache/>
            </c:numRef>
          </c:val>
        </c:ser>
        <c:ser>
          <c:idx val="3"/>
          <c:order val="3"/>
          <c:tx>
            <c:strRef>
              <c:f>'Gioc B'!$E$19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B'!$E$20</c:f>
              <c:numCache/>
            </c:numRef>
          </c:val>
        </c:ser>
        <c:ser>
          <c:idx val="4"/>
          <c:order val="4"/>
          <c:tx>
            <c:strRef>
              <c:f>'Gioc B'!$F$19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B'!$F$20</c:f>
              <c:numCache/>
            </c:numRef>
          </c:val>
        </c:ser>
        <c:ser>
          <c:idx val="5"/>
          <c:order val="5"/>
          <c:tx>
            <c:strRef>
              <c:f>'Gioc B'!$G$19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B'!$G$20</c:f>
              <c:numCache/>
            </c:numRef>
          </c:val>
        </c:ser>
        <c:axId val="10098939"/>
        <c:axId val="1769103584"/>
      </c:barChart>
      <c:catAx>
        <c:axId val="10098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103584"/>
      </c:catAx>
      <c:valAx>
        <c:axId val="1769103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8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B'!$AM$32:$AM$34</c:f>
            </c:strRef>
          </c:cat>
          <c:val>
            <c:numRef>
              <c:f>'Gioc B'!$AN$32:$AN$34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B'!$AM$33:$AM$35</c:f>
            </c:strRef>
          </c:cat>
          <c:val>
            <c:numRef>
              <c:f>'Gioc B'!$AN$33:$AN$35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B'!$AM$33:$AM$35</c:f>
            </c:strRef>
          </c:cat>
          <c:val>
            <c:numRef>
              <c:f>'Gioc B'!$AO$33:$AO$35</c:f>
              <c:numCache/>
            </c:numRef>
          </c:val>
        </c:ser>
        <c:overlap val="100"/>
        <c:axId val="131879205"/>
        <c:axId val="1414313140"/>
      </c:barChart>
      <c:catAx>
        <c:axId val="131879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313140"/>
      </c:catAx>
      <c:valAx>
        <c:axId val="1414313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79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C'!$B$19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C'!$B$20</c:f>
              <c:numCache/>
            </c:numRef>
          </c:val>
        </c:ser>
        <c:ser>
          <c:idx val="1"/>
          <c:order val="1"/>
          <c:tx>
            <c:strRef>
              <c:f>'Gioc C'!$C$19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C'!$C$20</c:f>
              <c:numCache/>
            </c:numRef>
          </c:val>
        </c:ser>
        <c:ser>
          <c:idx val="2"/>
          <c:order val="2"/>
          <c:tx>
            <c:strRef>
              <c:f>'Gioc C'!$D$19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C'!$D$20</c:f>
              <c:numCache/>
            </c:numRef>
          </c:val>
        </c:ser>
        <c:ser>
          <c:idx val="3"/>
          <c:order val="3"/>
          <c:tx>
            <c:strRef>
              <c:f>'Gioc C'!$E$19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C'!$E$20</c:f>
              <c:numCache/>
            </c:numRef>
          </c:val>
        </c:ser>
        <c:ser>
          <c:idx val="4"/>
          <c:order val="4"/>
          <c:tx>
            <c:strRef>
              <c:f>'Gioc C'!$F$19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C'!$F$20</c:f>
              <c:numCache/>
            </c:numRef>
          </c:val>
        </c:ser>
        <c:ser>
          <c:idx val="5"/>
          <c:order val="5"/>
          <c:tx>
            <c:strRef>
              <c:f>'Gioc C'!$G$19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C'!$G$20</c:f>
              <c:numCache/>
            </c:numRef>
          </c:val>
        </c:ser>
        <c:axId val="933880436"/>
        <c:axId val="17230466"/>
      </c:barChart>
      <c:catAx>
        <c:axId val="933880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0466"/>
      </c:catAx>
      <c:valAx>
        <c:axId val="17230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880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C'!$B$12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C'!$B$13</c:f>
              <c:numCache/>
            </c:numRef>
          </c:val>
        </c:ser>
        <c:ser>
          <c:idx val="1"/>
          <c:order val="1"/>
          <c:tx>
            <c:strRef>
              <c:f>'Gioc C'!$C$12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C'!$C$13</c:f>
              <c:numCache/>
            </c:numRef>
          </c:val>
        </c:ser>
        <c:ser>
          <c:idx val="2"/>
          <c:order val="2"/>
          <c:tx>
            <c:strRef>
              <c:f>'Gioc C'!$D$12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C'!$D$13</c:f>
              <c:numCache/>
            </c:numRef>
          </c:val>
        </c:ser>
        <c:ser>
          <c:idx val="3"/>
          <c:order val="3"/>
          <c:tx>
            <c:strRef>
              <c:f>'Gioc C'!$E$12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C'!$E$13</c:f>
              <c:numCache/>
            </c:numRef>
          </c:val>
        </c:ser>
        <c:ser>
          <c:idx val="4"/>
          <c:order val="4"/>
          <c:tx>
            <c:strRef>
              <c:f>'Gioc C'!$F$12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C'!$F$13</c:f>
              <c:numCache/>
            </c:numRef>
          </c:val>
        </c:ser>
        <c:ser>
          <c:idx val="5"/>
          <c:order val="5"/>
          <c:tx>
            <c:strRef>
              <c:f>'Gioc C'!$G$12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C'!$G$13</c:f>
              <c:numCache/>
            </c:numRef>
          </c:val>
        </c:ser>
        <c:axId val="171733579"/>
        <c:axId val="235311248"/>
      </c:barChart>
      <c:catAx>
        <c:axId val="171733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311248"/>
      </c:catAx>
      <c:valAx>
        <c:axId val="235311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33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C'!$B$5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C'!$B$6</c:f>
              <c:numCache/>
            </c:numRef>
          </c:val>
        </c:ser>
        <c:ser>
          <c:idx val="1"/>
          <c:order val="1"/>
          <c:tx>
            <c:strRef>
              <c:f>'Gioc C'!$C$5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C'!$C$6</c:f>
              <c:numCache/>
            </c:numRef>
          </c:val>
        </c:ser>
        <c:ser>
          <c:idx val="2"/>
          <c:order val="2"/>
          <c:tx>
            <c:strRef>
              <c:f>'Gioc C'!$D$5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C'!$D$6</c:f>
              <c:numCache/>
            </c:numRef>
          </c:val>
        </c:ser>
        <c:ser>
          <c:idx val="3"/>
          <c:order val="3"/>
          <c:tx>
            <c:strRef>
              <c:f>'Gioc C'!$E$5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C'!$E$6</c:f>
              <c:numCache/>
            </c:numRef>
          </c:val>
        </c:ser>
        <c:ser>
          <c:idx val="4"/>
          <c:order val="4"/>
          <c:tx>
            <c:strRef>
              <c:f>'Gioc C'!$F$5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C'!$F$6</c:f>
              <c:numCache/>
            </c:numRef>
          </c:val>
        </c:ser>
        <c:ser>
          <c:idx val="5"/>
          <c:order val="5"/>
          <c:tx>
            <c:strRef>
              <c:f>'Gioc C'!$G$5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C'!$G$6</c:f>
              <c:numCache/>
            </c:numRef>
          </c:val>
        </c:ser>
        <c:axId val="866343808"/>
        <c:axId val="1464218488"/>
      </c:barChart>
      <c:catAx>
        <c:axId val="86634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218488"/>
      </c:catAx>
      <c:valAx>
        <c:axId val="1464218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343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C'!$AL$32:$AL$34</c:f>
            </c:strRef>
          </c:cat>
          <c:val>
            <c:numRef>
              <c:f>'Gioc C'!$AM$32:$AM$34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C'!$AL$33:$AL$35</c:f>
            </c:strRef>
          </c:cat>
          <c:val>
            <c:numRef>
              <c:f>'Gioc C'!$AM$33:$AM$35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C'!$AL$33:$AL$35</c:f>
            </c:strRef>
          </c:cat>
          <c:val>
            <c:numRef>
              <c:f>'Gioc C'!$AN$33:$AN$35</c:f>
              <c:numCache/>
            </c:numRef>
          </c:val>
        </c:ser>
        <c:overlap val="100"/>
        <c:axId val="1401598432"/>
        <c:axId val="7610681"/>
      </c:barChart>
      <c:catAx>
        <c:axId val="140159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0681"/>
      </c:catAx>
      <c:valAx>
        <c:axId val="761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598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D'!$B$5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D'!$B$6</c:f>
              <c:numCache/>
            </c:numRef>
          </c:val>
        </c:ser>
        <c:ser>
          <c:idx val="1"/>
          <c:order val="1"/>
          <c:tx>
            <c:strRef>
              <c:f>'Gioc D'!$C$5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D'!$C$6</c:f>
              <c:numCache/>
            </c:numRef>
          </c:val>
        </c:ser>
        <c:ser>
          <c:idx val="2"/>
          <c:order val="2"/>
          <c:tx>
            <c:strRef>
              <c:f>'Gioc D'!$D$5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D'!$D$6</c:f>
              <c:numCache/>
            </c:numRef>
          </c:val>
        </c:ser>
        <c:ser>
          <c:idx val="3"/>
          <c:order val="3"/>
          <c:tx>
            <c:strRef>
              <c:f>'Gioc D'!$E$5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D'!$E$6</c:f>
              <c:numCache/>
            </c:numRef>
          </c:val>
        </c:ser>
        <c:ser>
          <c:idx val="4"/>
          <c:order val="4"/>
          <c:tx>
            <c:strRef>
              <c:f>'Gioc D'!$F$5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D'!$F$6</c:f>
              <c:numCache/>
            </c:numRef>
          </c:val>
        </c:ser>
        <c:ser>
          <c:idx val="5"/>
          <c:order val="5"/>
          <c:tx>
            <c:strRef>
              <c:f>'Gioc D'!$G$5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D'!$G$6</c:f>
              <c:numCache/>
            </c:numRef>
          </c:val>
        </c:ser>
        <c:axId val="319325527"/>
        <c:axId val="925424638"/>
      </c:barChart>
      <c:catAx>
        <c:axId val="319325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424638"/>
      </c:catAx>
      <c:valAx>
        <c:axId val="925424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325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D'!$AL$32:$AL$34</c:f>
            </c:strRef>
          </c:cat>
          <c:val>
            <c:numRef>
              <c:f>'Gioc D'!$AM$32:$AM$34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D'!$B$12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D'!$B$13</c:f>
              <c:numCache/>
            </c:numRef>
          </c:val>
        </c:ser>
        <c:ser>
          <c:idx val="1"/>
          <c:order val="1"/>
          <c:tx>
            <c:strRef>
              <c:f>'Gioc D'!$C$12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D'!$C$13</c:f>
              <c:numCache/>
            </c:numRef>
          </c:val>
        </c:ser>
        <c:ser>
          <c:idx val="2"/>
          <c:order val="2"/>
          <c:tx>
            <c:strRef>
              <c:f>'Gioc D'!$D$12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D'!$D$13</c:f>
              <c:numCache/>
            </c:numRef>
          </c:val>
        </c:ser>
        <c:ser>
          <c:idx val="3"/>
          <c:order val="3"/>
          <c:tx>
            <c:strRef>
              <c:f>'Gioc D'!$E$12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D'!$E$13</c:f>
              <c:numCache/>
            </c:numRef>
          </c:val>
        </c:ser>
        <c:ser>
          <c:idx val="4"/>
          <c:order val="4"/>
          <c:tx>
            <c:strRef>
              <c:f>'Gioc D'!$F$12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D'!$F$13</c:f>
              <c:numCache/>
            </c:numRef>
          </c:val>
        </c:ser>
        <c:ser>
          <c:idx val="5"/>
          <c:order val="5"/>
          <c:tx>
            <c:strRef>
              <c:f>'Gioc D'!$G$12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D'!$G$13</c:f>
              <c:numCache/>
            </c:numRef>
          </c:val>
        </c:ser>
        <c:axId val="1759079410"/>
        <c:axId val="1881326639"/>
      </c:barChart>
      <c:catAx>
        <c:axId val="1759079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326639"/>
      </c:catAx>
      <c:valAx>
        <c:axId val="1881326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079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D'!$AL$33:$AL$35</c:f>
            </c:strRef>
          </c:cat>
          <c:val>
            <c:numRef>
              <c:f>'Gioc D'!$AM$33:$AM$35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D'!$AL$33:$AL$35</c:f>
            </c:strRef>
          </c:cat>
          <c:val>
            <c:numRef>
              <c:f>'Gioc D'!$AN$33:$AN$35</c:f>
              <c:numCache/>
            </c:numRef>
          </c:val>
        </c:ser>
        <c:overlap val="100"/>
        <c:axId val="1281871121"/>
        <c:axId val="768505338"/>
      </c:barChart>
      <c:catAx>
        <c:axId val="1281871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505338"/>
      </c:catAx>
      <c:valAx>
        <c:axId val="768505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871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D'!$B$19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D'!$B$20</c:f>
              <c:numCache/>
            </c:numRef>
          </c:val>
        </c:ser>
        <c:ser>
          <c:idx val="1"/>
          <c:order val="1"/>
          <c:tx>
            <c:strRef>
              <c:f>'Gioc D'!$C$19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D'!$C$20</c:f>
              <c:numCache/>
            </c:numRef>
          </c:val>
        </c:ser>
        <c:ser>
          <c:idx val="2"/>
          <c:order val="2"/>
          <c:tx>
            <c:strRef>
              <c:f>'Gioc D'!$D$19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D'!$D$20</c:f>
              <c:numCache/>
            </c:numRef>
          </c:val>
        </c:ser>
        <c:ser>
          <c:idx val="3"/>
          <c:order val="3"/>
          <c:tx>
            <c:strRef>
              <c:f>'Gioc D'!$E$19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D'!$E$20</c:f>
              <c:numCache/>
            </c:numRef>
          </c:val>
        </c:ser>
        <c:ser>
          <c:idx val="4"/>
          <c:order val="4"/>
          <c:tx>
            <c:strRef>
              <c:f>'Gioc D'!$F$19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D'!$F$20</c:f>
              <c:numCache/>
            </c:numRef>
          </c:val>
        </c:ser>
        <c:ser>
          <c:idx val="5"/>
          <c:order val="5"/>
          <c:tx>
            <c:strRef>
              <c:f>'Gioc D'!$G$19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D'!$G$20</c:f>
              <c:numCache/>
            </c:numRef>
          </c:val>
        </c:ser>
        <c:axId val="1925159531"/>
        <c:axId val="491888282"/>
      </c:barChart>
      <c:catAx>
        <c:axId val="1925159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888282"/>
      </c:catAx>
      <c:valAx>
        <c:axId val="491888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159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E'!$B$5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E'!$B$6</c:f>
              <c:numCache/>
            </c:numRef>
          </c:val>
        </c:ser>
        <c:ser>
          <c:idx val="1"/>
          <c:order val="1"/>
          <c:tx>
            <c:strRef>
              <c:f>'Gioc E'!$C$5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E'!$C$6</c:f>
              <c:numCache/>
            </c:numRef>
          </c:val>
        </c:ser>
        <c:ser>
          <c:idx val="2"/>
          <c:order val="2"/>
          <c:tx>
            <c:strRef>
              <c:f>'Gioc E'!$D$5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E'!$D$6</c:f>
              <c:numCache/>
            </c:numRef>
          </c:val>
        </c:ser>
        <c:ser>
          <c:idx val="3"/>
          <c:order val="3"/>
          <c:tx>
            <c:strRef>
              <c:f>'Gioc E'!$E$5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E'!$E$6</c:f>
              <c:numCache/>
            </c:numRef>
          </c:val>
        </c:ser>
        <c:ser>
          <c:idx val="4"/>
          <c:order val="4"/>
          <c:tx>
            <c:strRef>
              <c:f>'Gioc E'!$F$5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E'!$F$6</c:f>
              <c:numCache/>
            </c:numRef>
          </c:val>
        </c:ser>
        <c:ser>
          <c:idx val="5"/>
          <c:order val="5"/>
          <c:tx>
            <c:strRef>
              <c:f>'Gioc E'!$G$5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E'!$G$6</c:f>
              <c:numCache/>
            </c:numRef>
          </c:val>
        </c:ser>
        <c:axId val="1479337007"/>
        <c:axId val="1816893104"/>
      </c:barChart>
      <c:catAx>
        <c:axId val="1479337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893104"/>
      </c:catAx>
      <c:valAx>
        <c:axId val="1816893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3370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D'!$AL$32:$AL$34</c:f>
            </c:strRef>
          </c:cat>
          <c:val>
            <c:numRef>
              <c:f>'Gioc D'!$AM$32:$AM$34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E'!$AL$33:$AL$35</c:f>
            </c:strRef>
          </c:cat>
          <c:val>
            <c:numRef>
              <c:f>'Gioc E'!$AM$33:$AM$35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E'!$AL$33:$AL$35</c:f>
            </c:strRef>
          </c:cat>
          <c:val>
            <c:numRef>
              <c:f>'Gioc E'!$AN$33:$AN$35</c:f>
              <c:numCache/>
            </c:numRef>
          </c:val>
        </c:ser>
        <c:overlap val="100"/>
        <c:axId val="896045327"/>
        <c:axId val="1671217110"/>
      </c:barChart>
      <c:catAx>
        <c:axId val="896045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217110"/>
      </c:catAx>
      <c:valAx>
        <c:axId val="1671217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045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E'!$B$12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E'!$B$13</c:f>
              <c:numCache/>
            </c:numRef>
          </c:val>
        </c:ser>
        <c:ser>
          <c:idx val="1"/>
          <c:order val="1"/>
          <c:tx>
            <c:strRef>
              <c:f>'Gioc E'!$C$12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E'!$C$13</c:f>
              <c:numCache/>
            </c:numRef>
          </c:val>
        </c:ser>
        <c:ser>
          <c:idx val="2"/>
          <c:order val="2"/>
          <c:tx>
            <c:strRef>
              <c:f>'Gioc E'!$D$12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E'!$D$13</c:f>
              <c:numCache/>
            </c:numRef>
          </c:val>
        </c:ser>
        <c:ser>
          <c:idx val="3"/>
          <c:order val="3"/>
          <c:tx>
            <c:strRef>
              <c:f>'Gioc E'!$E$12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E'!$E$13</c:f>
              <c:numCache/>
            </c:numRef>
          </c:val>
        </c:ser>
        <c:ser>
          <c:idx val="4"/>
          <c:order val="4"/>
          <c:tx>
            <c:strRef>
              <c:f>'Gioc E'!$F$12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E'!$F$13</c:f>
              <c:numCache/>
            </c:numRef>
          </c:val>
        </c:ser>
        <c:ser>
          <c:idx val="5"/>
          <c:order val="5"/>
          <c:tx>
            <c:strRef>
              <c:f>'Gioc E'!$G$12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E'!$G$13</c:f>
              <c:numCache/>
            </c:numRef>
          </c:val>
        </c:ser>
        <c:axId val="690285456"/>
        <c:axId val="1700635540"/>
      </c:barChart>
      <c:catAx>
        <c:axId val="69028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635540"/>
      </c:catAx>
      <c:valAx>
        <c:axId val="170063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285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E'!$B$19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E'!$B$20</c:f>
              <c:numCache/>
            </c:numRef>
          </c:val>
        </c:ser>
        <c:ser>
          <c:idx val="1"/>
          <c:order val="1"/>
          <c:tx>
            <c:strRef>
              <c:f>'Gioc E'!$C$19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E'!$C$20</c:f>
              <c:numCache/>
            </c:numRef>
          </c:val>
        </c:ser>
        <c:ser>
          <c:idx val="2"/>
          <c:order val="2"/>
          <c:tx>
            <c:strRef>
              <c:f>'Gioc E'!$D$19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E'!$D$20</c:f>
              <c:numCache/>
            </c:numRef>
          </c:val>
        </c:ser>
        <c:ser>
          <c:idx val="3"/>
          <c:order val="3"/>
          <c:tx>
            <c:strRef>
              <c:f>'Gioc E'!$E$19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E'!$E$20</c:f>
              <c:numCache/>
            </c:numRef>
          </c:val>
        </c:ser>
        <c:ser>
          <c:idx val="4"/>
          <c:order val="4"/>
          <c:tx>
            <c:strRef>
              <c:f>'Gioc E'!$F$19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E'!$F$20</c:f>
              <c:numCache/>
            </c:numRef>
          </c:val>
        </c:ser>
        <c:ser>
          <c:idx val="5"/>
          <c:order val="5"/>
          <c:tx>
            <c:strRef>
              <c:f>'Gioc E'!$G$19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E'!$G$20</c:f>
              <c:numCache/>
            </c:numRef>
          </c:val>
        </c:ser>
        <c:axId val="1385741538"/>
        <c:axId val="1579705055"/>
      </c:barChart>
      <c:catAx>
        <c:axId val="1385741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705055"/>
      </c:catAx>
      <c:valAx>
        <c:axId val="1579705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741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F'!$B$5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F'!$B$6</c:f>
              <c:numCache/>
            </c:numRef>
          </c:val>
        </c:ser>
        <c:ser>
          <c:idx val="1"/>
          <c:order val="1"/>
          <c:tx>
            <c:strRef>
              <c:f>'Gioc F'!$C$5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F'!$C$6</c:f>
              <c:numCache/>
            </c:numRef>
          </c:val>
        </c:ser>
        <c:ser>
          <c:idx val="2"/>
          <c:order val="2"/>
          <c:tx>
            <c:strRef>
              <c:f>'Gioc F'!$D$5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F'!$D$6</c:f>
              <c:numCache/>
            </c:numRef>
          </c:val>
        </c:ser>
        <c:ser>
          <c:idx val="3"/>
          <c:order val="3"/>
          <c:tx>
            <c:strRef>
              <c:f>'Gioc F'!$E$5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F'!$E$6</c:f>
              <c:numCache/>
            </c:numRef>
          </c:val>
        </c:ser>
        <c:ser>
          <c:idx val="4"/>
          <c:order val="4"/>
          <c:tx>
            <c:strRef>
              <c:f>'Gioc F'!$F$5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F'!$F$6</c:f>
              <c:numCache/>
            </c:numRef>
          </c:val>
        </c:ser>
        <c:ser>
          <c:idx val="5"/>
          <c:order val="5"/>
          <c:tx>
            <c:strRef>
              <c:f>'Gioc F'!$G$5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F'!$G$6</c:f>
              <c:numCache/>
            </c:numRef>
          </c:val>
        </c:ser>
        <c:axId val="360954221"/>
        <c:axId val="531433395"/>
      </c:barChart>
      <c:catAx>
        <c:axId val="360954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433395"/>
      </c:catAx>
      <c:valAx>
        <c:axId val="531433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954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F'!$AL$32:$AL$34</c:f>
            </c:strRef>
          </c:cat>
          <c:val>
            <c:numRef>
              <c:f>'Gioc F'!$AM$32:$AM$34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F'!$B$12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F'!$B$13</c:f>
              <c:numCache/>
            </c:numRef>
          </c:val>
        </c:ser>
        <c:ser>
          <c:idx val="1"/>
          <c:order val="1"/>
          <c:tx>
            <c:strRef>
              <c:f>'Gioc F'!$C$12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F'!$C$13</c:f>
              <c:numCache/>
            </c:numRef>
          </c:val>
        </c:ser>
        <c:ser>
          <c:idx val="2"/>
          <c:order val="2"/>
          <c:tx>
            <c:strRef>
              <c:f>'Gioc F'!$D$12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F'!$D$13</c:f>
              <c:numCache/>
            </c:numRef>
          </c:val>
        </c:ser>
        <c:ser>
          <c:idx val="3"/>
          <c:order val="3"/>
          <c:tx>
            <c:strRef>
              <c:f>'Gioc F'!$E$12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F'!$E$13</c:f>
              <c:numCache/>
            </c:numRef>
          </c:val>
        </c:ser>
        <c:ser>
          <c:idx val="4"/>
          <c:order val="4"/>
          <c:tx>
            <c:strRef>
              <c:f>'Gioc F'!$F$12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F'!$F$13</c:f>
              <c:numCache/>
            </c:numRef>
          </c:val>
        </c:ser>
        <c:ser>
          <c:idx val="5"/>
          <c:order val="5"/>
          <c:tx>
            <c:strRef>
              <c:f>'Gioc F'!$G$12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F'!$G$13</c:f>
              <c:numCache/>
            </c:numRef>
          </c:val>
        </c:ser>
        <c:axId val="241722571"/>
        <c:axId val="143423072"/>
      </c:barChart>
      <c:catAx>
        <c:axId val="241722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23072"/>
      </c:catAx>
      <c:valAx>
        <c:axId val="143423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722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F'!$B$19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F'!$B$20</c:f>
              <c:numCache/>
            </c:numRef>
          </c:val>
        </c:ser>
        <c:ser>
          <c:idx val="1"/>
          <c:order val="1"/>
          <c:tx>
            <c:strRef>
              <c:f>'Gioc F'!$C$19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F'!$C$20</c:f>
              <c:numCache/>
            </c:numRef>
          </c:val>
        </c:ser>
        <c:ser>
          <c:idx val="2"/>
          <c:order val="2"/>
          <c:tx>
            <c:strRef>
              <c:f>'Gioc F'!$D$19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F'!$D$20</c:f>
              <c:numCache/>
            </c:numRef>
          </c:val>
        </c:ser>
        <c:ser>
          <c:idx val="3"/>
          <c:order val="3"/>
          <c:tx>
            <c:strRef>
              <c:f>'Gioc F'!$E$19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F'!$E$20</c:f>
              <c:numCache/>
            </c:numRef>
          </c:val>
        </c:ser>
        <c:ser>
          <c:idx val="4"/>
          <c:order val="4"/>
          <c:tx>
            <c:strRef>
              <c:f>'Gioc F'!$F$19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F'!$F$20</c:f>
              <c:numCache/>
            </c:numRef>
          </c:val>
        </c:ser>
        <c:ser>
          <c:idx val="5"/>
          <c:order val="5"/>
          <c:tx>
            <c:strRef>
              <c:f>'Gioc F'!$G$19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F'!$G$20</c:f>
              <c:numCache/>
            </c:numRef>
          </c:val>
        </c:ser>
        <c:axId val="2083450566"/>
        <c:axId val="1191699560"/>
      </c:barChart>
      <c:catAx>
        <c:axId val="2083450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699560"/>
      </c:catAx>
      <c:valAx>
        <c:axId val="1191699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450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F'!$AL$33:$AL$35</c:f>
            </c:strRef>
          </c:cat>
          <c:val>
            <c:numRef>
              <c:f>'Gioc F'!$AM$33:$AM$35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F'!$AL$33:$AL$35</c:f>
            </c:strRef>
          </c:cat>
          <c:val>
            <c:numRef>
              <c:f>'Gioc F'!$AN$33:$AN$35</c:f>
              <c:numCache/>
            </c:numRef>
          </c:val>
        </c:ser>
        <c:overlap val="100"/>
        <c:axId val="860877970"/>
        <c:axId val="1757966277"/>
      </c:barChart>
      <c:catAx>
        <c:axId val="860877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966277"/>
      </c:catAx>
      <c:valAx>
        <c:axId val="1757966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877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G'!$B$5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G'!$B$6</c:f>
              <c:numCache/>
            </c:numRef>
          </c:val>
        </c:ser>
        <c:ser>
          <c:idx val="1"/>
          <c:order val="1"/>
          <c:tx>
            <c:strRef>
              <c:f>'Gioc G'!$C$5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G'!$C$6</c:f>
              <c:numCache/>
            </c:numRef>
          </c:val>
        </c:ser>
        <c:ser>
          <c:idx val="2"/>
          <c:order val="2"/>
          <c:tx>
            <c:strRef>
              <c:f>'Gioc G'!$D$5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G'!$D$6</c:f>
              <c:numCache/>
            </c:numRef>
          </c:val>
        </c:ser>
        <c:ser>
          <c:idx val="3"/>
          <c:order val="3"/>
          <c:tx>
            <c:strRef>
              <c:f>'Gioc G'!$E$5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G'!$E$6</c:f>
              <c:numCache/>
            </c:numRef>
          </c:val>
        </c:ser>
        <c:ser>
          <c:idx val="4"/>
          <c:order val="4"/>
          <c:tx>
            <c:strRef>
              <c:f>'Gioc G'!$F$5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G'!$F$6</c:f>
              <c:numCache/>
            </c:numRef>
          </c:val>
        </c:ser>
        <c:ser>
          <c:idx val="5"/>
          <c:order val="5"/>
          <c:tx>
            <c:strRef>
              <c:f>'Gioc G'!$G$5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G'!$G$6</c:f>
              <c:numCache/>
            </c:numRef>
          </c:val>
        </c:ser>
        <c:axId val="487261708"/>
        <c:axId val="275773693"/>
      </c:barChart>
      <c:catAx>
        <c:axId val="487261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773693"/>
      </c:catAx>
      <c:valAx>
        <c:axId val="275773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261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G'!$AL$32:$AL$34</c:f>
            </c:strRef>
          </c:cat>
          <c:val>
            <c:numRef>
              <c:f>'Gioc G'!$AM$32:$AM$34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G'!$B$12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G'!$B$13</c:f>
              <c:numCache/>
            </c:numRef>
          </c:val>
        </c:ser>
        <c:ser>
          <c:idx val="1"/>
          <c:order val="1"/>
          <c:tx>
            <c:strRef>
              <c:f>'Gioc G'!$C$12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G'!$C$13</c:f>
              <c:numCache/>
            </c:numRef>
          </c:val>
        </c:ser>
        <c:ser>
          <c:idx val="2"/>
          <c:order val="2"/>
          <c:tx>
            <c:strRef>
              <c:f>'Gioc G'!$D$12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G'!$D$13</c:f>
              <c:numCache/>
            </c:numRef>
          </c:val>
        </c:ser>
        <c:ser>
          <c:idx val="3"/>
          <c:order val="3"/>
          <c:tx>
            <c:strRef>
              <c:f>'Gioc G'!$E$12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G'!$E$13</c:f>
              <c:numCache/>
            </c:numRef>
          </c:val>
        </c:ser>
        <c:ser>
          <c:idx val="4"/>
          <c:order val="4"/>
          <c:tx>
            <c:strRef>
              <c:f>'Gioc G'!$F$12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G'!$F$13</c:f>
              <c:numCache/>
            </c:numRef>
          </c:val>
        </c:ser>
        <c:ser>
          <c:idx val="5"/>
          <c:order val="5"/>
          <c:tx>
            <c:strRef>
              <c:f>'Gioc G'!$G$12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G'!$G$13</c:f>
              <c:numCache/>
            </c:numRef>
          </c:val>
        </c:ser>
        <c:axId val="1279398741"/>
        <c:axId val="426526507"/>
      </c:barChart>
      <c:catAx>
        <c:axId val="1279398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526507"/>
      </c:catAx>
      <c:valAx>
        <c:axId val="42652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398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G'!$B$19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G'!$B$20</c:f>
              <c:numCache/>
            </c:numRef>
          </c:val>
        </c:ser>
        <c:ser>
          <c:idx val="1"/>
          <c:order val="1"/>
          <c:tx>
            <c:strRef>
              <c:f>'Gioc G'!$C$19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G'!$C$20</c:f>
              <c:numCache/>
            </c:numRef>
          </c:val>
        </c:ser>
        <c:ser>
          <c:idx val="2"/>
          <c:order val="2"/>
          <c:tx>
            <c:strRef>
              <c:f>'Gioc G'!$D$19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G'!$D$20</c:f>
              <c:numCache/>
            </c:numRef>
          </c:val>
        </c:ser>
        <c:ser>
          <c:idx val="3"/>
          <c:order val="3"/>
          <c:tx>
            <c:strRef>
              <c:f>'Gioc G'!$E$19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G'!$E$20</c:f>
              <c:numCache/>
            </c:numRef>
          </c:val>
        </c:ser>
        <c:ser>
          <c:idx val="4"/>
          <c:order val="4"/>
          <c:tx>
            <c:strRef>
              <c:f>'Gioc G'!$F$19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G'!$F$20</c:f>
              <c:numCache/>
            </c:numRef>
          </c:val>
        </c:ser>
        <c:ser>
          <c:idx val="5"/>
          <c:order val="5"/>
          <c:tx>
            <c:strRef>
              <c:f>'Gioc G'!$G$19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G'!$G$20</c:f>
              <c:numCache/>
            </c:numRef>
          </c:val>
        </c:ser>
        <c:axId val="1294648402"/>
        <c:axId val="482724472"/>
      </c:barChart>
      <c:catAx>
        <c:axId val="129464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724472"/>
      </c:catAx>
      <c:valAx>
        <c:axId val="482724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648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G'!$AL$33:$AL$35</c:f>
            </c:strRef>
          </c:cat>
          <c:val>
            <c:numRef>
              <c:f>'Gioc G'!$AM$33:$AM$35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G'!$AL$33:$AL$35</c:f>
            </c:strRef>
          </c:cat>
          <c:val>
            <c:numRef>
              <c:f>'Gioc G'!$AN$33:$AN$35</c:f>
              <c:numCache/>
            </c:numRef>
          </c:val>
        </c:ser>
        <c:overlap val="100"/>
        <c:axId val="995986748"/>
        <c:axId val="344782298"/>
      </c:barChart>
      <c:catAx>
        <c:axId val="995986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4782298"/>
      </c:catAx>
      <c:valAx>
        <c:axId val="344782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9867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H'!$B$5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H'!$B$6</c:f>
              <c:numCache/>
            </c:numRef>
          </c:val>
        </c:ser>
        <c:ser>
          <c:idx val="1"/>
          <c:order val="1"/>
          <c:tx>
            <c:strRef>
              <c:f>'Gioc H'!$C$5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H'!$C$6</c:f>
              <c:numCache/>
            </c:numRef>
          </c:val>
        </c:ser>
        <c:ser>
          <c:idx val="2"/>
          <c:order val="2"/>
          <c:tx>
            <c:strRef>
              <c:f>'Gioc H'!$D$5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H'!$D$6</c:f>
              <c:numCache/>
            </c:numRef>
          </c:val>
        </c:ser>
        <c:ser>
          <c:idx val="3"/>
          <c:order val="3"/>
          <c:tx>
            <c:strRef>
              <c:f>'Gioc H'!$E$5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H'!$E$6</c:f>
              <c:numCache/>
            </c:numRef>
          </c:val>
        </c:ser>
        <c:ser>
          <c:idx val="4"/>
          <c:order val="4"/>
          <c:tx>
            <c:strRef>
              <c:f>'Gioc H'!$F$5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H'!$F$6</c:f>
              <c:numCache/>
            </c:numRef>
          </c:val>
        </c:ser>
        <c:ser>
          <c:idx val="5"/>
          <c:order val="5"/>
          <c:tx>
            <c:strRef>
              <c:f>'Gioc H'!$G$5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H'!$G$6</c:f>
              <c:numCache/>
            </c:numRef>
          </c:val>
        </c:ser>
        <c:axId val="307092330"/>
        <c:axId val="1811662716"/>
      </c:barChart>
      <c:catAx>
        <c:axId val="307092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62716"/>
      </c:catAx>
      <c:valAx>
        <c:axId val="1811662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092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H'!$AL$31:$AL$33</c:f>
            </c:strRef>
          </c:cat>
          <c:val>
            <c:numRef>
              <c:f>'Gioc H'!$AM$31:$AM$33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H'!$AL$32:$AL$34</c:f>
            </c:strRef>
          </c:cat>
          <c:val>
            <c:numRef>
              <c:f>'Gioc H'!$AM$32:$AM$34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H'!$AL$32:$AL$34</c:f>
            </c:strRef>
          </c:cat>
          <c:val>
            <c:numRef>
              <c:f>'Gioc H'!$AN$32:$AN$34</c:f>
              <c:numCache/>
            </c:numRef>
          </c:val>
        </c:ser>
        <c:overlap val="100"/>
        <c:axId val="1686253653"/>
        <c:axId val="1837564672"/>
      </c:barChart>
      <c:catAx>
        <c:axId val="1686253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564672"/>
      </c:catAx>
      <c:valAx>
        <c:axId val="1837564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253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H'!$B$12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H'!$B$13</c:f>
              <c:numCache/>
            </c:numRef>
          </c:val>
        </c:ser>
        <c:ser>
          <c:idx val="1"/>
          <c:order val="1"/>
          <c:tx>
            <c:strRef>
              <c:f>'Gioc H'!$C$12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H'!$C$13</c:f>
              <c:numCache/>
            </c:numRef>
          </c:val>
        </c:ser>
        <c:ser>
          <c:idx val="2"/>
          <c:order val="2"/>
          <c:tx>
            <c:strRef>
              <c:f>'Gioc H'!$D$12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H'!$D$13</c:f>
              <c:numCache/>
            </c:numRef>
          </c:val>
        </c:ser>
        <c:ser>
          <c:idx val="3"/>
          <c:order val="3"/>
          <c:tx>
            <c:strRef>
              <c:f>'Gioc H'!$E$12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H'!$E$13</c:f>
              <c:numCache/>
            </c:numRef>
          </c:val>
        </c:ser>
        <c:ser>
          <c:idx val="4"/>
          <c:order val="4"/>
          <c:tx>
            <c:strRef>
              <c:f>'Gioc H'!$F$12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H'!$F$13</c:f>
              <c:numCache/>
            </c:numRef>
          </c:val>
        </c:ser>
        <c:ser>
          <c:idx val="5"/>
          <c:order val="5"/>
          <c:tx>
            <c:strRef>
              <c:f>'Gioc H'!$G$12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H'!$G$13</c:f>
              <c:numCache/>
            </c:numRef>
          </c:val>
        </c:ser>
        <c:axId val="304455699"/>
        <c:axId val="1975630911"/>
      </c:barChart>
      <c:catAx>
        <c:axId val="304455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630911"/>
      </c:catAx>
      <c:valAx>
        <c:axId val="1975630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455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H'!$B$19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H'!$B$20</c:f>
              <c:numCache/>
            </c:numRef>
          </c:val>
        </c:ser>
        <c:ser>
          <c:idx val="1"/>
          <c:order val="1"/>
          <c:tx>
            <c:strRef>
              <c:f>'Gioc H'!$C$19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H'!$C$20</c:f>
              <c:numCache/>
            </c:numRef>
          </c:val>
        </c:ser>
        <c:ser>
          <c:idx val="2"/>
          <c:order val="2"/>
          <c:tx>
            <c:strRef>
              <c:f>'Gioc H'!$D$19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H'!$D$20</c:f>
              <c:numCache/>
            </c:numRef>
          </c:val>
        </c:ser>
        <c:ser>
          <c:idx val="3"/>
          <c:order val="3"/>
          <c:tx>
            <c:strRef>
              <c:f>'Gioc H'!$E$19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H'!$E$20</c:f>
              <c:numCache/>
            </c:numRef>
          </c:val>
        </c:ser>
        <c:ser>
          <c:idx val="4"/>
          <c:order val="4"/>
          <c:tx>
            <c:strRef>
              <c:f>'Gioc H'!$F$19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H'!$F$20</c:f>
              <c:numCache/>
            </c:numRef>
          </c:val>
        </c:ser>
        <c:ser>
          <c:idx val="5"/>
          <c:order val="5"/>
          <c:tx>
            <c:strRef>
              <c:f>'Gioc H'!$G$19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H'!$G$20</c:f>
              <c:numCache/>
            </c:numRef>
          </c:val>
        </c:ser>
        <c:axId val="1340609630"/>
        <c:axId val="1070232481"/>
      </c:barChart>
      <c:catAx>
        <c:axId val="1340609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232481"/>
      </c:catAx>
      <c:valAx>
        <c:axId val="1070232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609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I'!$B$5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I'!$B$6</c:f>
              <c:numCache/>
            </c:numRef>
          </c:val>
        </c:ser>
        <c:ser>
          <c:idx val="1"/>
          <c:order val="1"/>
          <c:tx>
            <c:strRef>
              <c:f>'Gioc I'!$C$5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I'!$C$6</c:f>
              <c:numCache/>
            </c:numRef>
          </c:val>
        </c:ser>
        <c:ser>
          <c:idx val="2"/>
          <c:order val="2"/>
          <c:tx>
            <c:strRef>
              <c:f>'Gioc I'!$D$5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I'!$D$6</c:f>
              <c:numCache/>
            </c:numRef>
          </c:val>
        </c:ser>
        <c:ser>
          <c:idx val="3"/>
          <c:order val="3"/>
          <c:tx>
            <c:strRef>
              <c:f>'Gioc I'!$E$5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I'!$E$6</c:f>
              <c:numCache/>
            </c:numRef>
          </c:val>
        </c:ser>
        <c:ser>
          <c:idx val="4"/>
          <c:order val="4"/>
          <c:tx>
            <c:strRef>
              <c:f>'Gioc I'!$F$5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I'!$F$6</c:f>
              <c:numCache/>
            </c:numRef>
          </c:val>
        </c:ser>
        <c:ser>
          <c:idx val="5"/>
          <c:order val="5"/>
          <c:tx>
            <c:strRef>
              <c:f>'Gioc I'!$G$5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I'!$G$6</c:f>
              <c:numCache/>
            </c:numRef>
          </c:val>
        </c:ser>
        <c:axId val="379835993"/>
        <c:axId val="566712272"/>
      </c:barChart>
      <c:catAx>
        <c:axId val="37983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712272"/>
      </c:catAx>
      <c:valAx>
        <c:axId val="566712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835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I'!$AL$32:$AL$34</c:f>
            </c:strRef>
          </c:cat>
          <c:val>
            <c:numRef>
              <c:f>'Gioc I'!$AM$32:$AM$34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I'!$B$12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I'!$B$13</c:f>
              <c:numCache/>
            </c:numRef>
          </c:val>
        </c:ser>
        <c:ser>
          <c:idx val="1"/>
          <c:order val="1"/>
          <c:tx>
            <c:strRef>
              <c:f>'Gioc I'!$C$12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I'!$C$13</c:f>
              <c:numCache/>
            </c:numRef>
          </c:val>
        </c:ser>
        <c:ser>
          <c:idx val="2"/>
          <c:order val="2"/>
          <c:tx>
            <c:strRef>
              <c:f>'Gioc I'!$D$12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I'!$D$13</c:f>
              <c:numCache/>
            </c:numRef>
          </c:val>
        </c:ser>
        <c:ser>
          <c:idx val="3"/>
          <c:order val="3"/>
          <c:tx>
            <c:strRef>
              <c:f>'Gioc I'!$E$12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I'!$E$13</c:f>
              <c:numCache/>
            </c:numRef>
          </c:val>
        </c:ser>
        <c:ser>
          <c:idx val="4"/>
          <c:order val="4"/>
          <c:tx>
            <c:strRef>
              <c:f>'Gioc I'!$F$12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I'!$F$13</c:f>
              <c:numCache/>
            </c:numRef>
          </c:val>
        </c:ser>
        <c:ser>
          <c:idx val="5"/>
          <c:order val="5"/>
          <c:tx>
            <c:strRef>
              <c:f>'Gioc I'!$G$12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I'!$G$13</c:f>
              <c:numCache/>
            </c:numRef>
          </c:val>
        </c:ser>
        <c:axId val="1415889340"/>
        <c:axId val="2064711582"/>
      </c:barChart>
      <c:catAx>
        <c:axId val="1415889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711582"/>
      </c:catAx>
      <c:valAx>
        <c:axId val="2064711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8893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I'!$B$19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I'!$B$20</c:f>
              <c:numCache/>
            </c:numRef>
          </c:val>
        </c:ser>
        <c:ser>
          <c:idx val="1"/>
          <c:order val="1"/>
          <c:tx>
            <c:strRef>
              <c:f>'Gioc I'!$C$19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I'!$C$20</c:f>
              <c:numCache/>
            </c:numRef>
          </c:val>
        </c:ser>
        <c:ser>
          <c:idx val="2"/>
          <c:order val="2"/>
          <c:tx>
            <c:strRef>
              <c:f>'Gioc I'!$D$19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I'!$D$20</c:f>
              <c:numCache/>
            </c:numRef>
          </c:val>
        </c:ser>
        <c:ser>
          <c:idx val="3"/>
          <c:order val="3"/>
          <c:tx>
            <c:strRef>
              <c:f>'Gioc I'!$E$19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I'!$E$20</c:f>
              <c:numCache/>
            </c:numRef>
          </c:val>
        </c:ser>
        <c:ser>
          <c:idx val="4"/>
          <c:order val="4"/>
          <c:tx>
            <c:strRef>
              <c:f>'Gioc I'!$F$19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I'!$F$20</c:f>
              <c:numCache/>
            </c:numRef>
          </c:val>
        </c:ser>
        <c:ser>
          <c:idx val="5"/>
          <c:order val="5"/>
          <c:tx>
            <c:strRef>
              <c:f>'Gioc I'!$G$19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I'!$G$20</c:f>
              <c:numCache/>
            </c:numRef>
          </c:val>
        </c:ser>
        <c:axId val="1438804936"/>
        <c:axId val="434828024"/>
      </c:barChart>
      <c:catAx>
        <c:axId val="1438804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828024"/>
      </c:catAx>
      <c:valAx>
        <c:axId val="434828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804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I'!$AL$33:$AL$35</c:f>
            </c:strRef>
          </c:cat>
          <c:val>
            <c:numRef>
              <c:f>'Gioc I'!$AM$33:$AM$35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I'!$AL$33:$AL$35</c:f>
            </c:strRef>
          </c:cat>
          <c:val>
            <c:numRef>
              <c:f>'Gioc I'!$AN$33:$AN$35</c:f>
              <c:numCache/>
            </c:numRef>
          </c:val>
        </c:ser>
        <c:overlap val="100"/>
        <c:axId val="1273391076"/>
        <c:axId val="1568084180"/>
      </c:barChart>
      <c:catAx>
        <c:axId val="1273391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084180"/>
      </c:catAx>
      <c:valAx>
        <c:axId val="156808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391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J'!$B$5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J'!$B$6</c:f>
              <c:numCache/>
            </c:numRef>
          </c:val>
        </c:ser>
        <c:ser>
          <c:idx val="1"/>
          <c:order val="1"/>
          <c:tx>
            <c:strRef>
              <c:f>'Gioc J'!$C$5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J'!$C$6</c:f>
              <c:numCache/>
            </c:numRef>
          </c:val>
        </c:ser>
        <c:ser>
          <c:idx val="2"/>
          <c:order val="2"/>
          <c:tx>
            <c:strRef>
              <c:f>'Gioc J'!$D$5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J'!$D$6</c:f>
              <c:numCache/>
            </c:numRef>
          </c:val>
        </c:ser>
        <c:ser>
          <c:idx val="3"/>
          <c:order val="3"/>
          <c:tx>
            <c:strRef>
              <c:f>'Gioc J'!$E$5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J'!$E$6</c:f>
              <c:numCache/>
            </c:numRef>
          </c:val>
        </c:ser>
        <c:ser>
          <c:idx val="4"/>
          <c:order val="4"/>
          <c:tx>
            <c:strRef>
              <c:f>'Gioc J'!$F$5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J'!$F$6</c:f>
              <c:numCache/>
            </c:numRef>
          </c:val>
        </c:ser>
        <c:ser>
          <c:idx val="5"/>
          <c:order val="5"/>
          <c:tx>
            <c:strRef>
              <c:f>'Gioc J'!$G$5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J'!$G$6</c:f>
              <c:numCache/>
            </c:numRef>
          </c:val>
        </c:ser>
        <c:axId val="1550034769"/>
        <c:axId val="1850541935"/>
      </c:barChart>
      <c:catAx>
        <c:axId val="1550034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541935"/>
      </c:catAx>
      <c:valAx>
        <c:axId val="1850541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034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J'!$AL$32:$AL$34</c:f>
            </c:strRef>
          </c:cat>
          <c:val>
            <c:numRef>
              <c:f>'Gioc J'!$AM$32:$AM$34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J'!$B$12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J'!$B$13</c:f>
              <c:numCache/>
            </c:numRef>
          </c:val>
        </c:ser>
        <c:ser>
          <c:idx val="1"/>
          <c:order val="1"/>
          <c:tx>
            <c:strRef>
              <c:f>'Gioc J'!$C$12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J'!$C$13</c:f>
              <c:numCache/>
            </c:numRef>
          </c:val>
        </c:ser>
        <c:ser>
          <c:idx val="2"/>
          <c:order val="2"/>
          <c:tx>
            <c:strRef>
              <c:f>'Gioc J'!$D$12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J'!$D$13</c:f>
              <c:numCache/>
            </c:numRef>
          </c:val>
        </c:ser>
        <c:ser>
          <c:idx val="3"/>
          <c:order val="3"/>
          <c:tx>
            <c:strRef>
              <c:f>'Gioc J'!$E$12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J'!$E$13</c:f>
              <c:numCache/>
            </c:numRef>
          </c:val>
        </c:ser>
        <c:ser>
          <c:idx val="4"/>
          <c:order val="4"/>
          <c:tx>
            <c:strRef>
              <c:f>'Gioc J'!$F$12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J'!$F$13</c:f>
              <c:numCache/>
            </c:numRef>
          </c:val>
        </c:ser>
        <c:ser>
          <c:idx val="5"/>
          <c:order val="5"/>
          <c:tx>
            <c:strRef>
              <c:f>'Gioc J'!$G$12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J'!$G$13</c:f>
              <c:numCache/>
            </c:numRef>
          </c:val>
        </c:ser>
        <c:axId val="1034522169"/>
        <c:axId val="1844403582"/>
      </c:barChart>
      <c:catAx>
        <c:axId val="1034522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403582"/>
      </c:catAx>
      <c:valAx>
        <c:axId val="1844403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522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J'!$B$19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J'!$B$20</c:f>
              <c:numCache/>
            </c:numRef>
          </c:val>
        </c:ser>
        <c:ser>
          <c:idx val="1"/>
          <c:order val="1"/>
          <c:tx>
            <c:strRef>
              <c:f>'Gioc J'!$C$19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J'!$C$20</c:f>
              <c:numCache/>
            </c:numRef>
          </c:val>
        </c:ser>
        <c:ser>
          <c:idx val="2"/>
          <c:order val="2"/>
          <c:tx>
            <c:strRef>
              <c:f>'Gioc J'!$D$19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J'!$D$20</c:f>
              <c:numCache/>
            </c:numRef>
          </c:val>
        </c:ser>
        <c:ser>
          <c:idx val="3"/>
          <c:order val="3"/>
          <c:tx>
            <c:strRef>
              <c:f>'Gioc J'!$E$19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J'!$E$20</c:f>
              <c:numCache/>
            </c:numRef>
          </c:val>
        </c:ser>
        <c:ser>
          <c:idx val="4"/>
          <c:order val="4"/>
          <c:tx>
            <c:strRef>
              <c:f>'Gioc J'!$F$19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J'!$F$20</c:f>
              <c:numCache/>
            </c:numRef>
          </c:val>
        </c:ser>
        <c:ser>
          <c:idx val="5"/>
          <c:order val="5"/>
          <c:tx>
            <c:strRef>
              <c:f>'Gioc J'!$G$19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J'!$G$20</c:f>
              <c:numCache/>
            </c:numRef>
          </c:val>
        </c:ser>
        <c:axId val="40578659"/>
        <c:axId val="1203165281"/>
      </c:barChart>
      <c:catAx>
        <c:axId val="40578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165281"/>
      </c:catAx>
      <c:valAx>
        <c:axId val="1203165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78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J'!$AL$33:$AL$35</c:f>
            </c:strRef>
          </c:cat>
          <c:val>
            <c:numRef>
              <c:f>'Gioc J'!$AM$33:$AM$35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J'!$AL$33:$AL$35</c:f>
            </c:strRef>
          </c:cat>
          <c:val>
            <c:numRef>
              <c:f>'Gioc J'!$AN$33:$AN$35</c:f>
              <c:numCache/>
            </c:numRef>
          </c:val>
        </c:ser>
        <c:overlap val="100"/>
        <c:axId val="1843715267"/>
        <c:axId val="2016039653"/>
      </c:barChart>
      <c:catAx>
        <c:axId val="1843715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039653"/>
      </c:catAx>
      <c:valAx>
        <c:axId val="201603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715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K'!$B$5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K'!$B$6</c:f>
              <c:numCache/>
            </c:numRef>
          </c:val>
        </c:ser>
        <c:ser>
          <c:idx val="1"/>
          <c:order val="1"/>
          <c:tx>
            <c:strRef>
              <c:f>'Gioc K'!$C$5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K'!$C$6</c:f>
              <c:numCache/>
            </c:numRef>
          </c:val>
        </c:ser>
        <c:ser>
          <c:idx val="2"/>
          <c:order val="2"/>
          <c:tx>
            <c:strRef>
              <c:f>'Gioc K'!$D$5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K'!$D$6</c:f>
              <c:numCache/>
            </c:numRef>
          </c:val>
        </c:ser>
        <c:ser>
          <c:idx val="3"/>
          <c:order val="3"/>
          <c:tx>
            <c:strRef>
              <c:f>'Gioc K'!$E$5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K'!$E$6</c:f>
              <c:numCache/>
            </c:numRef>
          </c:val>
        </c:ser>
        <c:ser>
          <c:idx val="4"/>
          <c:order val="4"/>
          <c:tx>
            <c:strRef>
              <c:f>'Gioc K'!$F$5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K'!$F$6</c:f>
              <c:numCache/>
            </c:numRef>
          </c:val>
        </c:ser>
        <c:ser>
          <c:idx val="5"/>
          <c:order val="5"/>
          <c:tx>
            <c:strRef>
              <c:f>'Gioc K'!$G$5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K'!$G$6</c:f>
              <c:numCache/>
            </c:numRef>
          </c:val>
        </c:ser>
        <c:axId val="1387643040"/>
        <c:axId val="1857690933"/>
      </c:barChart>
      <c:catAx>
        <c:axId val="138764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690933"/>
      </c:catAx>
      <c:valAx>
        <c:axId val="185769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643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K'!$AL$32:$AL$34</c:f>
            </c:strRef>
          </c:cat>
          <c:val>
            <c:numRef>
              <c:f>'Gioc K'!$AM$32:$AM$34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K'!$B$12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K'!$B$13</c:f>
              <c:numCache/>
            </c:numRef>
          </c:val>
        </c:ser>
        <c:ser>
          <c:idx val="1"/>
          <c:order val="1"/>
          <c:tx>
            <c:strRef>
              <c:f>'Gioc K'!$C$12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K'!$C$13</c:f>
              <c:numCache/>
            </c:numRef>
          </c:val>
        </c:ser>
        <c:ser>
          <c:idx val="2"/>
          <c:order val="2"/>
          <c:tx>
            <c:strRef>
              <c:f>'Gioc K'!$D$12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K'!$D$13</c:f>
              <c:numCache/>
            </c:numRef>
          </c:val>
        </c:ser>
        <c:ser>
          <c:idx val="3"/>
          <c:order val="3"/>
          <c:tx>
            <c:strRef>
              <c:f>'Gioc K'!$E$12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K'!$E$13</c:f>
              <c:numCache/>
            </c:numRef>
          </c:val>
        </c:ser>
        <c:ser>
          <c:idx val="4"/>
          <c:order val="4"/>
          <c:tx>
            <c:strRef>
              <c:f>'Gioc K'!$F$12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K'!$F$13</c:f>
              <c:numCache/>
            </c:numRef>
          </c:val>
        </c:ser>
        <c:ser>
          <c:idx val="5"/>
          <c:order val="5"/>
          <c:tx>
            <c:strRef>
              <c:f>'Gioc K'!$G$12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K'!$G$13</c:f>
              <c:numCache/>
            </c:numRef>
          </c:val>
        </c:ser>
        <c:axId val="1934431950"/>
        <c:axId val="486375006"/>
      </c:barChart>
      <c:catAx>
        <c:axId val="1934431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375006"/>
      </c:catAx>
      <c:valAx>
        <c:axId val="486375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431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K'!$B$19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K'!$B$20</c:f>
              <c:numCache/>
            </c:numRef>
          </c:val>
        </c:ser>
        <c:ser>
          <c:idx val="1"/>
          <c:order val="1"/>
          <c:tx>
            <c:strRef>
              <c:f>'Gioc K'!$C$19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K'!$C$20</c:f>
              <c:numCache/>
            </c:numRef>
          </c:val>
        </c:ser>
        <c:ser>
          <c:idx val="2"/>
          <c:order val="2"/>
          <c:tx>
            <c:strRef>
              <c:f>'Gioc K'!$D$19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K'!$D$20</c:f>
              <c:numCache/>
            </c:numRef>
          </c:val>
        </c:ser>
        <c:ser>
          <c:idx val="3"/>
          <c:order val="3"/>
          <c:tx>
            <c:strRef>
              <c:f>'Gioc K'!$E$19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K'!$E$20</c:f>
              <c:numCache/>
            </c:numRef>
          </c:val>
        </c:ser>
        <c:ser>
          <c:idx val="4"/>
          <c:order val="4"/>
          <c:tx>
            <c:strRef>
              <c:f>'Gioc K'!$F$19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K'!$F$20</c:f>
              <c:numCache/>
            </c:numRef>
          </c:val>
        </c:ser>
        <c:ser>
          <c:idx val="5"/>
          <c:order val="5"/>
          <c:tx>
            <c:strRef>
              <c:f>'Gioc K'!$G$19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K'!$G$20</c:f>
              <c:numCache/>
            </c:numRef>
          </c:val>
        </c:ser>
        <c:axId val="482411402"/>
        <c:axId val="1632806152"/>
      </c:barChart>
      <c:catAx>
        <c:axId val="482411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806152"/>
      </c:catAx>
      <c:valAx>
        <c:axId val="1632806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411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K'!$AL$33:$AL$35</c:f>
            </c:strRef>
          </c:cat>
          <c:val>
            <c:numRef>
              <c:f>'Gioc K'!$AM$33:$AM$35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K'!$AL$33:$AL$35</c:f>
            </c:strRef>
          </c:cat>
          <c:val>
            <c:numRef>
              <c:f>'Gioc K'!$AN$33:$AN$35</c:f>
              <c:numCache/>
            </c:numRef>
          </c:val>
        </c:ser>
        <c:overlap val="100"/>
        <c:axId val="606179885"/>
        <c:axId val="363768980"/>
      </c:barChart>
      <c:catAx>
        <c:axId val="60617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768980"/>
      </c:catAx>
      <c:valAx>
        <c:axId val="363768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179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L'!$B$5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L'!$B$6</c:f>
              <c:numCache/>
            </c:numRef>
          </c:val>
        </c:ser>
        <c:ser>
          <c:idx val="1"/>
          <c:order val="1"/>
          <c:tx>
            <c:strRef>
              <c:f>'Gioc L'!$C$5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L'!$C$6</c:f>
              <c:numCache/>
            </c:numRef>
          </c:val>
        </c:ser>
        <c:ser>
          <c:idx val="2"/>
          <c:order val="2"/>
          <c:tx>
            <c:strRef>
              <c:f>'Gioc L'!$D$5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L'!$D$6</c:f>
              <c:numCache/>
            </c:numRef>
          </c:val>
        </c:ser>
        <c:ser>
          <c:idx val="3"/>
          <c:order val="3"/>
          <c:tx>
            <c:strRef>
              <c:f>'Gioc L'!$E$5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L'!$E$6</c:f>
              <c:numCache/>
            </c:numRef>
          </c:val>
        </c:ser>
        <c:ser>
          <c:idx val="4"/>
          <c:order val="4"/>
          <c:tx>
            <c:strRef>
              <c:f>'Gioc L'!$F$5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L'!$F$6</c:f>
              <c:numCache/>
            </c:numRef>
          </c:val>
        </c:ser>
        <c:ser>
          <c:idx val="5"/>
          <c:order val="5"/>
          <c:tx>
            <c:strRef>
              <c:f>'Gioc L'!$G$5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L'!$G$6</c:f>
              <c:numCache/>
            </c:numRef>
          </c:val>
        </c:ser>
        <c:axId val="42234335"/>
        <c:axId val="662664236"/>
      </c:barChart>
      <c:catAx>
        <c:axId val="4223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664236"/>
      </c:catAx>
      <c:valAx>
        <c:axId val="66266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34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L'!$B$12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L'!$B$13</c:f>
              <c:numCache/>
            </c:numRef>
          </c:val>
        </c:ser>
        <c:ser>
          <c:idx val="1"/>
          <c:order val="1"/>
          <c:tx>
            <c:strRef>
              <c:f>'Gioc L'!$C$12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L'!$C$13</c:f>
              <c:numCache/>
            </c:numRef>
          </c:val>
        </c:ser>
        <c:ser>
          <c:idx val="2"/>
          <c:order val="2"/>
          <c:tx>
            <c:strRef>
              <c:f>'Gioc L'!$D$12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L'!$D$13</c:f>
              <c:numCache/>
            </c:numRef>
          </c:val>
        </c:ser>
        <c:ser>
          <c:idx val="3"/>
          <c:order val="3"/>
          <c:tx>
            <c:strRef>
              <c:f>'Gioc L'!$E$12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L'!$E$13</c:f>
              <c:numCache/>
            </c:numRef>
          </c:val>
        </c:ser>
        <c:ser>
          <c:idx val="4"/>
          <c:order val="4"/>
          <c:tx>
            <c:strRef>
              <c:f>'Gioc L'!$F$12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L'!$F$13</c:f>
              <c:numCache/>
            </c:numRef>
          </c:val>
        </c:ser>
        <c:ser>
          <c:idx val="5"/>
          <c:order val="5"/>
          <c:tx>
            <c:strRef>
              <c:f>'Gioc L'!$G$12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L'!$G$13</c:f>
              <c:numCache/>
            </c:numRef>
          </c:val>
        </c:ser>
        <c:axId val="1370419117"/>
        <c:axId val="2004830849"/>
      </c:barChart>
      <c:catAx>
        <c:axId val="1370419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830849"/>
      </c:catAx>
      <c:valAx>
        <c:axId val="2004830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419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L'!$B$19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L'!$B$20</c:f>
              <c:numCache/>
            </c:numRef>
          </c:val>
        </c:ser>
        <c:ser>
          <c:idx val="1"/>
          <c:order val="1"/>
          <c:tx>
            <c:strRef>
              <c:f>'Gioc L'!$C$19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L'!$C$20</c:f>
              <c:numCache/>
            </c:numRef>
          </c:val>
        </c:ser>
        <c:ser>
          <c:idx val="2"/>
          <c:order val="2"/>
          <c:tx>
            <c:strRef>
              <c:f>'Gioc L'!$D$19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L'!$D$20</c:f>
              <c:numCache/>
            </c:numRef>
          </c:val>
        </c:ser>
        <c:ser>
          <c:idx val="3"/>
          <c:order val="3"/>
          <c:tx>
            <c:strRef>
              <c:f>'Gioc L'!$E$19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L'!$E$20</c:f>
              <c:numCache/>
            </c:numRef>
          </c:val>
        </c:ser>
        <c:ser>
          <c:idx val="4"/>
          <c:order val="4"/>
          <c:tx>
            <c:strRef>
              <c:f>'Gioc L'!$F$19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L'!$F$20</c:f>
              <c:numCache/>
            </c:numRef>
          </c:val>
        </c:ser>
        <c:ser>
          <c:idx val="5"/>
          <c:order val="5"/>
          <c:tx>
            <c:strRef>
              <c:f>'Gioc L'!$G$19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L'!$G$20</c:f>
              <c:numCache/>
            </c:numRef>
          </c:val>
        </c:ser>
        <c:axId val="717004704"/>
        <c:axId val="1674519177"/>
      </c:barChart>
      <c:catAx>
        <c:axId val="71700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519177"/>
      </c:catAx>
      <c:valAx>
        <c:axId val="1674519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004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L'!$AL$32:$AL$34</c:f>
            </c:strRef>
          </c:cat>
          <c:val>
            <c:numRef>
              <c:f>'Gioc L'!$AM$32:$AM$34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L'!$AL$33:$AL$35</c:f>
            </c:strRef>
          </c:cat>
          <c:val>
            <c:numRef>
              <c:f>'Gioc L'!$AM$33:$AM$35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L'!$AL$33:$AL$35</c:f>
            </c:strRef>
          </c:cat>
          <c:val>
            <c:numRef>
              <c:f>'Gioc L'!$AN$33:$AN$35</c:f>
              <c:numCache/>
            </c:numRef>
          </c:val>
        </c:ser>
        <c:overlap val="100"/>
        <c:axId val="149592195"/>
        <c:axId val="597405813"/>
      </c:barChart>
      <c:catAx>
        <c:axId val="149592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405813"/>
      </c:catAx>
      <c:valAx>
        <c:axId val="597405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92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M'!$B$5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M'!$B$6</c:f>
              <c:numCache/>
            </c:numRef>
          </c:val>
        </c:ser>
        <c:ser>
          <c:idx val="1"/>
          <c:order val="1"/>
          <c:tx>
            <c:strRef>
              <c:f>'Gioc M'!$C$5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M'!$C$6</c:f>
              <c:numCache/>
            </c:numRef>
          </c:val>
        </c:ser>
        <c:ser>
          <c:idx val="2"/>
          <c:order val="2"/>
          <c:tx>
            <c:strRef>
              <c:f>'Gioc M'!$D$5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M'!$D$6</c:f>
              <c:numCache/>
            </c:numRef>
          </c:val>
        </c:ser>
        <c:ser>
          <c:idx val="3"/>
          <c:order val="3"/>
          <c:tx>
            <c:strRef>
              <c:f>'Gioc M'!$E$5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M'!$E$6</c:f>
              <c:numCache/>
            </c:numRef>
          </c:val>
        </c:ser>
        <c:ser>
          <c:idx val="4"/>
          <c:order val="4"/>
          <c:tx>
            <c:strRef>
              <c:f>'Gioc M'!$F$5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M'!$F$6</c:f>
              <c:numCache/>
            </c:numRef>
          </c:val>
        </c:ser>
        <c:ser>
          <c:idx val="5"/>
          <c:order val="5"/>
          <c:tx>
            <c:strRef>
              <c:f>'Gioc M'!$G$5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M'!$G$6</c:f>
              <c:numCache/>
            </c:numRef>
          </c:val>
        </c:ser>
        <c:axId val="1715753394"/>
        <c:axId val="814963894"/>
      </c:barChart>
      <c:catAx>
        <c:axId val="171575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963894"/>
      </c:catAx>
      <c:valAx>
        <c:axId val="81496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753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M'!$AL$32:$AL$34</c:f>
            </c:strRef>
          </c:cat>
          <c:val>
            <c:numRef>
              <c:f>'Gioc M'!$AM$32:$AM$34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M'!$B$12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M'!$B$13</c:f>
              <c:numCache/>
            </c:numRef>
          </c:val>
        </c:ser>
        <c:ser>
          <c:idx val="1"/>
          <c:order val="1"/>
          <c:tx>
            <c:strRef>
              <c:f>'Gioc M'!$C$12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M'!$C$13</c:f>
              <c:numCache/>
            </c:numRef>
          </c:val>
        </c:ser>
        <c:ser>
          <c:idx val="2"/>
          <c:order val="2"/>
          <c:tx>
            <c:strRef>
              <c:f>'Gioc M'!$D$12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M'!$D$13</c:f>
              <c:numCache/>
            </c:numRef>
          </c:val>
        </c:ser>
        <c:ser>
          <c:idx val="3"/>
          <c:order val="3"/>
          <c:tx>
            <c:strRef>
              <c:f>'Gioc M'!$E$12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M'!$E$13</c:f>
              <c:numCache/>
            </c:numRef>
          </c:val>
        </c:ser>
        <c:ser>
          <c:idx val="4"/>
          <c:order val="4"/>
          <c:tx>
            <c:strRef>
              <c:f>'Gioc M'!$F$12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M'!$F$13</c:f>
              <c:numCache/>
            </c:numRef>
          </c:val>
        </c:ser>
        <c:ser>
          <c:idx val="5"/>
          <c:order val="5"/>
          <c:tx>
            <c:strRef>
              <c:f>'Gioc M'!$G$12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M'!$G$13</c:f>
              <c:numCache/>
            </c:numRef>
          </c:val>
        </c:ser>
        <c:axId val="104558295"/>
        <c:axId val="185160497"/>
      </c:barChart>
      <c:catAx>
        <c:axId val="104558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60497"/>
      </c:catAx>
      <c:valAx>
        <c:axId val="18516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58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M'!$B$19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M'!$B$20</c:f>
              <c:numCache/>
            </c:numRef>
          </c:val>
        </c:ser>
        <c:ser>
          <c:idx val="1"/>
          <c:order val="1"/>
          <c:tx>
            <c:strRef>
              <c:f>'Gioc M'!$C$19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M'!$C$20</c:f>
              <c:numCache/>
            </c:numRef>
          </c:val>
        </c:ser>
        <c:ser>
          <c:idx val="2"/>
          <c:order val="2"/>
          <c:tx>
            <c:strRef>
              <c:f>'Gioc M'!$D$19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M'!$D$20</c:f>
              <c:numCache/>
            </c:numRef>
          </c:val>
        </c:ser>
        <c:ser>
          <c:idx val="3"/>
          <c:order val="3"/>
          <c:tx>
            <c:strRef>
              <c:f>'Gioc M'!$E$19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M'!$E$20</c:f>
              <c:numCache/>
            </c:numRef>
          </c:val>
        </c:ser>
        <c:ser>
          <c:idx val="4"/>
          <c:order val="4"/>
          <c:tx>
            <c:strRef>
              <c:f>'Gioc M'!$F$19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M'!$F$20</c:f>
              <c:numCache/>
            </c:numRef>
          </c:val>
        </c:ser>
        <c:ser>
          <c:idx val="5"/>
          <c:order val="5"/>
          <c:tx>
            <c:strRef>
              <c:f>'Gioc M'!$G$19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M'!$G$20</c:f>
              <c:numCache/>
            </c:numRef>
          </c:val>
        </c:ser>
        <c:axId val="731790185"/>
        <c:axId val="1675076610"/>
      </c:barChart>
      <c:catAx>
        <c:axId val="731790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076610"/>
      </c:catAx>
      <c:valAx>
        <c:axId val="1675076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790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M'!$AL$33:$AL$35</c:f>
            </c:strRef>
          </c:cat>
          <c:val>
            <c:numRef>
              <c:f>'Gioc M'!$AM$33:$AM$35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M'!$AL$33:$AL$35</c:f>
            </c:strRef>
          </c:cat>
          <c:val>
            <c:numRef>
              <c:f>'Gioc M'!$AN$33:$AN$35</c:f>
              <c:numCache/>
            </c:numRef>
          </c:val>
        </c:ser>
        <c:overlap val="100"/>
        <c:axId val="1397974009"/>
        <c:axId val="708398882"/>
      </c:barChart>
      <c:catAx>
        <c:axId val="1397974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398882"/>
      </c:catAx>
      <c:valAx>
        <c:axId val="708398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974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N'!$B$5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N'!$B$6</c:f>
              <c:numCache/>
            </c:numRef>
          </c:val>
        </c:ser>
        <c:ser>
          <c:idx val="1"/>
          <c:order val="1"/>
          <c:tx>
            <c:strRef>
              <c:f>'Gioc N'!$C$5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N'!$C$6</c:f>
              <c:numCache/>
            </c:numRef>
          </c:val>
        </c:ser>
        <c:ser>
          <c:idx val="2"/>
          <c:order val="2"/>
          <c:tx>
            <c:strRef>
              <c:f>'Gioc N'!$D$5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N'!$D$6</c:f>
              <c:numCache/>
            </c:numRef>
          </c:val>
        </c:ser>
        <c:ser>
          <c:idx val="3"/>
          <c:order val="3"/>
          <c:tx>
            <c:strRef>
              <c:f>'Gioc N'!$E$5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N'!$E$6</c:f>
              <c:numCache/>
            </c:numRef>
          </c:val>
        </c:ser>
        <c:ser>
          <c:idx val="4"/>
          <c:order val="4"/>
          <c:tx>
            <c:strRef>
              <c:f>'Gioc N'!$F$5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N'!$F$6</c:f>
              <c:numCache/>
            </c:numRef>
          </c:val>
        </c:ser>
        <c:ser>
          <c:idx val="5"/>
          <c:order val="5"/>
          <c:tx>
            <c:strRef>
              <c:f>'Gioc N'!$G$5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N'!$G$6</c:f>
              <c:numCache/>
            </c:numRef>
          </c:val>
        </c:ser>
        <c:axId val="844719760"/>
        <c:axId val="1682640771"/>
      </c:barChart>
      <c:catAx>
        <c:axId val="84471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640771"/>
      </c:catAx>
      <c:valAx>
        <c:axId val="1682640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719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N'!$AL$32:$AL$34</c:f>
            </c:strRef>
          </c:cat>
          <c:val>
            <c:numRef>
              <c:f>'Gioc N'!$AM$32:$AM$34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N'!$B$12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N'!$B$13</c:f>
              <c:numCache/>
            </c:numRef>
          </c:val>
        </c:ser>
        <c:ser>
          <c:idx val="1"/>
          <c:order val="1"/>
          <c:tx>
            <c:strRef>
              <c:f>'Gioc N'!$C$12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N'!$C$13</c:f>
              <c:numCache/>
            </c:numRef>
          </c:val>
        </c:ser>
        <c:ser>
          <c:idx val="2"/>
          <c:order val="2"/>
          <c:tx>
            <c:strRef>
              <c:f>'Gioc N'!$D$12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N'!$D$13</c:f>
              <c:numCache/>
            </c:numRef>
          </c:val>
        </c:ser>
        <c:ser>
          <c:idx val="3"/>
          <c:order val="3"/>
          <c:tx>
            <c:strRef>
              <c:f>'Gioc N'!$E$12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N'!$E$13</c:f>
              <c:numCache/>
            </c:numRef>
          </c:val>
        </c:ser>
        <c:ser>
          <c:idx val="4"/>
          <c:order val="4"/>
          <c:tx>
            <c:strRef>
              <c:f>'Gioc N'!$F$12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N'!$F$13</c:f>
              <c:numCache/>
            </c:numRef>
          </c:val>
        </c:ser>
        <c:ser>
          <c:idx val="5"/>
          <c:order val="5"/>
          <c:tx>
            <c:strRef>
              <c:f>'Gioc N'!$G$12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N'!$G$13</c:f>
              <c:numCache/>
            </c:numRef>
          </c:val>
        </c:ser>
        <c:axId val="455915738"/>
        <c:axId val="1183175986"/>
      </c:barChart>
      <c:catAx>
        <c:axId val="45591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175986"/>
      </c:catAx>
      <c:valAx>
        <c:axId val="1183175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915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N'!$B$19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N'!$B$20</c:f>
              <c:numCache/>
            </c:numRef>
          </c:val>
        </c:ser>
        <c:ser>
          <c:idx val="1"/>
          <c:order val="1"/>
          <c:tx>
            <c:strRef>
              <c:f>'Gioc N'!$C$19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N'!$C$20</c:f>
              <c:numCache/>
            </c:numRef>
          </c:val>
        </c:ser>
        <c:ser>
          <c:idx val="2"/>
          <c:order val="2"/>
          <c:tx>
            <c:strRef>
              <c:f>'Gioc N'!$D$19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N'!$D$20</c:f>
              <c:numCache/>
            </c:numRef>
          </c:val>
        </c:ser>
        <c:ser>
          <c:idx val="3"/>
          <c:order val="3"/>
          <c:tx>
            <c:strRef>
              <c:f>'Gioc N'!$E$19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N'!$E$20</c:f>
              <c:numCache/>
            </c:numRef>
          </c:val>
        </c:ser>
        <c:ser>
          <c:idx val="4"/>
          <c:order val="4"/>
          <c:tx>
            <c:strRef>
              <c:f>'Gioc N'!$F$19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N'!$F$20</c:f>
              <c:numCache/>
            </c:numRef>
          </c:val>
        </c:ser>
        <c:ser>
          <c:idx val="5"/>
          <c:order val="5"/>
          <c:tx>
            <c:strRef>
              <c:f>'Gioc N'!$G$19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N'!$G$20</c:f>
              <c:numCache/>
            </c:numRef>
          </c:val>
        </c:ser>
        <c:axId val="2099757537"/>
        <c:axId val="1857472295"/>
      </c:barChart>
      <c:catAx>
        <c:axId val="2099757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472295"/>
      </c:catAx>
      <c:valAx>
        <c:axId val="1857472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757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N'!$AL$33:$AL$35</c:f>
            </c:strRef>
          </c:cat>
          <c:val>
            <c:numRef>
              <c:f>'Gioc N'!$AM$33:$AM$35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N'!$AL$33:$AL$35</c:f>
            </c:strRef>
          </c:cat>
          <c:val>
            <c:numRef>
              <c:f>'Gioc N'!$AN$33:$AN$35</c:f>
              <c:numCache/>
            </c:numRef>
          </c:val>
        </c:ser>
        <c:overlap val="100"/>
        <c:axId val="1690382706"/>
        <c:axId val="1648244457"/>
      </c:barChart>
      <c:catAx>
        <c:axId val="1690382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244457"/>
      </c:catAx>
      <c:valAx>
        <c:axId val="1648244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382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Ricezione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O'!$B$5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O'!$B$6</c:f>
              <c:numCache/>
            </c:numRef>
          </c:val>
        </c:ser>
        <c:ser>
          <c:idx val="1"/>
          <c:order val="1"/>
          <c:tx>
            <c:strRef>
              <c:f>'Gioc O'!$C$5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O'!$C$6</c:f>
              <c:numCache/>
            </c:numRef>
          </c:val>
        </c:ser>
        <c:ser>
          <c:idx val="2"/>
          <c:order val="2"/>
          <c:tx>
            <c:strRef>
              <c:f>'Gioc O'!$D$5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O'!$D$6</c:f>
              <c:numCache/>
            </c:numRef>
          </c:val>
        </c:ser>
        <c:ser>
          <c:idx val="3"/>
          <c:order val="3"/>
          <c:tx>
            <c:strRef>
              <c:f>'Gioc O'!$E$5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O'!$E$6</c:f>
              <c:numCache/>
            </c:numRef>
          </c:val>
        </c:ser>
        <c:ser>
          <c:idx val="4"/>
          <c:order val="4"/>
          <c:tx>
            <c:strRef>
              <c:f>'Gioc O'!$F$5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O'!$F$6</c:f>
              <c:numCache/>
            </c:numRef>
          </c:val>
        </c:ser>
        <c:ser>
          <c:idx val="5"/>
          <c:order val="5"/>
          <c:tx>
            <c:strRef>
              <c:f>'Gioc O'!$G$5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O'!$G$6</c:f>
              <c:numCache/>
            </c:numRef>
          </c:val>
        </c:ser>
        <c:axId val="2139065433"/>
        <c:axId val="696310435"/>
      </c:barChart>
      <c:catAx>
        <c:axId val="2139065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310435"/>
      </c:catAx>
      <c:valAx>
        <c:axId val="696310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065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Come ha fatto punto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'Gioc O'!$AL$32:$AL$34</c:f>
            </c:strRef>
          </c:cat>
          <c:val>
            <c:numRef>
              <c:f>'Gioc O'!$AM$32:$AM$34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Battuta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O'!$B$12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O'!$B$13</c:f>
              <c:numCache/>
            </c:numRef>
          </c:val>
        </c:ser>
        <c:ser>
          <c:idx val="1"/>
          <c:order val="1"/>
          <c:tx>
            <c:strRef>
              <c:f>'Gioc O'!$C$12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O'!$C$13</c:f>
              <c:numCache/>
            </c:numRef>
          </c:val>
        </c:ser>
        <c:ser>
          <c:idx val="2"/>
          <c:order val="2"/>
          <c:tx>
            <c:strRef>
              <c:f>'Gioc O'!$D$12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O'!$D$13</c:f>
              <c:numCache/>
            </c:numRef>
          </c:val>
        </c:ser>
        <c:ser>
          <c:idx val="3"/>
          <c:order val="3"/>
          <c:tx>
            <c:strRef>
              <c:f>'Gioc O'!$E$12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O'!$E$13</c:f>
              <c:numCache/>
            </c:numRef>
          </c:val>
        </c:ser>
        <c:ser>
          <c:idx val="4"/>
          <c:order val="4"/>
          <c:tx>
            <c:strRef>
              <c:f>'Gioc O'!$F$12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O'!$F$13</c:f>
              <c:numCache/>
            </c:numRef>
          </c:val>
        </c:ser>
        <c:ser>
          <c:idx val="5"/>
          <c:order val="5"/>
          <c:tx>
            <c:strRef>
              <c:f>'Gioc O'!$G$12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O'!$G$13</c:f>
              <c:numCache/>
            </c:numRef>
          </c:val>
        </c:ser>
        <c:axId val="726435547"/>
        <c:axId val="2072405809"/>
      </c:barChart>
      <c:catAx>
        <c:axId val="726435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405809"/>
      </c:catAx>
      <c:valAx>
        <c:axId val="2072405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435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Attacco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'Gioc O'!$B$19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'Gioc O'!$B$20</c:f>
              <c:numCache/>
            </c:numRef>
          </c:val>
        </c:ser>
        <c:ser>
          <c:idx val="1"/>
          <c:order val="1"/>
          <c:tx>
            <c:strRef>
              <c:f>'Gioc O'!$C$19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'Gioc O'!$C$20</c:f>
              <c:numCache/>
            </c:numRef>
          </c:val>
        </c:ser>
        <c:ser>
          <c:idx val="2"/>
          <c:order val="2"/>
          <c:tx>
            <c:strRef>
              <c:f>'Gioc O'!$D$19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'Gioc O'!$D$20</c:f>
              <c:numCache/>
            </c:numRef>
          </c:val>
        </c:ser>
        <c:ser>
          <c:idx val="3"/>
          <c:order val="3"/>
          <c:tx>
            <c:strRef>
              <c:f>'Gioc O'!$E$19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'Gioc O'!$E$20</c:f>
              <c:numCache/>
            </c:numRef>
          </c:val>
        </c:ser>
        <c:ser>
          <c:idx val="4"/>
          <c:order val="4"/>
          <c:tx>
            <c:strRef>
              <c:f>'Gioc O'!$F$19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'Gioc O'!$F$20</c:f>
              <c:numCache/>
            </c:numRef>
          </c:val>
        </c:ser>
        <c:ser>
          <c:idx val="5"/>
          <c:order val="5"/>
          <c:tx>
            <c:strRef>
              <c:f>'Gioc O'!$G$19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val>
            <c:numRef>
              <c:f>'Gioc O'!$G$20</c:f>
              <c:numCache/>
            </c:numRef>
          </c:val>
        </c:ser>
        <c:axId val="31757926"/>
        <c:axId val="1949359083"/>
      </c:barChart>
      <c:catAx>
        <c:axId val="31757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359083"/>
      </c:catAx>
      <c:valAx>
        <c:axId val="1949359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57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Vinti-Persi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vinti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'Gioc O'!$AL$33:$AL$35</c:f>
            </c:strRef>
          </c:cat>
          <c:val>
            <c:numRef>
              <c:f>'Gioc O'!$AM$33:$AM$35</c:f>
              <c:numCache/>
            </c:numRef>
          </c:val>
        </c:ser>
        <c:ser>
          <c:idx val="1"/>
          <c:order val="1"/>
          <c:tx>
            <c:v>persi</c:v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'Gioc O'!$AL$33:$AL$35</c:f>
            </c:strRef>
          </c:cat>
          <c:val>
            <c:numRef>
              <c:f>'Gioc O'!$AN$33:$AN$35</c:f>
              <c:numCache/>
            </c:numRef>
          </c:val>
        </c:ser>
        <c:overlap val="100"/>
        <c:axId val="546425717"/>
        <c:axId val="1389779405"/>
      </c:barChart>
      <c:catAx>
        <c:axId val="546425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779405"/>
      </c:catAx>
      <c:valAx>
        <c:axId val="1389779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425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5" Type="http://schemas.openxmlformats.org/officeDocument/2006/relationships/chart" Target="../charts/chart2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5" Type="http://schemas.openxmlformats.org/officeDocument/2006/relationships/chart" Target="../charts/chart37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Relationship Id="rId5" Type="http://schemas.openxmlformats.org/officeDocument/2006/relationships/chart" Target="../charts/chart4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Relationship Id="rId3" Type="http://schemas.openxmlformats.org/officeDocument/2006/relationships/chart" Target="../charts/chart50.xml"/><Relationship Id="rId4" Type="http://schemas.openxmlformats.org/officeDocument/2006/relationships/chart" Target="../charts/chart51.xml"/><Relationship Id="rId5" Type="http://schemas.openxmlformats.org/officeDocument/2006/relationships/chart" Target="../charts/chart5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Relationship Id="rId5" Type="http://schemas.openxmlformats.org/officeDocument/2006/relationships/chart" Target="../charts/chart57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Relationship Id="rId4" Type="http://schemas.openxmlformats.org/officeDocument/2006/relationships/chart" Target="../charts/chart61.xml"/><Relationship Id="rId5" Type="http://schemas.openxmlformats.org/officeDocument/2006/relationships/chart" Target="../charts/chart62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Relationship Id="rId2" Type="http://schemas.openxmlformats.org/officeDocument/2006/relationships/chart" Target="../charts/chart64.xml"/><Relationship Id="rId3" Type="http://schemas.openxmlformats.org/officeDocument/2006/relationships/chart" Target="../charts/chart65.xml"/><Relationship Id="rId4" Type="http://schemas.openxmlformats.org/officeDocument/2006/relationships/chart" Target="../charts/chart66.xml"/><Relationship Id="rId5" Type="http://schemas.openxmlformats.org/officeDocument/2006/relationships/chart" Target="../charts/chart67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Relationship Id="rId4" Type="http://schemas.openxmlformats.org/officeDocument/2006/relationships/chart" Target="../charts/chart71.xml"/><Relationship Id="rId5" Type="http://schemas.openxmlformats.org/officeDocument/2006/relationships/chart" Target="../charts/chart7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Relationship Id="rId5" Type="http://schemas.openxmlformats.org/officeDocument/2006/relationships/chart" Target="../charts/chart77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8.xml"/><Relationship Id="rId2" Type="http://schemas.openxmlformats.org/officeDocument/2006/relationships/chart" Target="../charts/chart79.xml"/><Relationship Id="rId3" Type="http://schemas.openxmlformats.org/officeDocument/2006/relationships/chart" Target="../charts/chart80.xml"/><Relationship Id="rId4" Type="http://schemas.openxmlformats.org/officeDocument/2006/relationships/chart" Target="../charts/chart81.xml"/><Relationship Id="rId5" Type="http://schemas.openxmlformats.org/officeDocument/2006/relationships/chart" Target="../charts/chart82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3.xml"/><Relationship Id="rId2" Type="http://schemas.openxmlformats.org/officeDocument/2006/relationships/chart" Target="../charts/chart84.xml"/><Relationship Id="rId3" Type="http://schemas.openxmlformats.org/officeDocument/2006/relationships/chart" Target="../charts/chart85.xml"/><Relationship Id="rId4" Type="http://schemas.openxmlformats.org/officeDocument/2006/relationships/chart" Target="../charts/chart86.xml"/><Relationship Id="rId5" Type="http://schemas.openxmlformats.org/officeDocument/2006/relationships/chart" Target="../charts/chart8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27</xdr:row>
      <xdr:rowOff>152400</xdr:rowOff>
    </xdr:from>
    <xdr:ext cx="314325" cy="43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914400</xdr:colOff>
      <xdr:row>1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933450</xdr:colOff>
      <xdr:row>1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933450</xdr:colOff>
      <xdr:row>19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914400</xdr:colOff>
      <xdr:row>20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9525</xdr:rowOff>
    </xdr:from>
    <xdr:ext cx="4371975" cy="2895600"/>
    <xdr:pic>
      <xdr:nvPicPr>
        <xdr:cNvPr id="133707238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16</xdr:row>
      <xdr:rowOff>161925</xdr:rowOff>
    </xdr:from>
    <xdr:ext cx="4371975" cy="26765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133350</xdr:colOff>
      <xdr:row>0</xdr:row>
      <xdr:rowOff>219075</xdr:rowOff>
    </xdr:from>
    <xdr:ext cx="3467100" cy="2152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142875</xdr:rowOff>
    </xdr:from>
    <xdr:ext cx="3467100" cy="21526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247650</xdr:colOff>
      <xdr:row>14</xdr:row>
      <xdr:rowOff>142875</xdr:rowOff>
    </xdr:from>
    <xdr:ext cx="3467100" cy="21526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247650</xdr:colOff>
      <xdr:row>0</xdr:row>
      <xdr:rowOff>219075</xdr:rowOff>
    </xdr:from>
    <xdr:ext cx="3467100" cy="21526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3467100" cy="21526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866775</xdr:colOff>
      <xdr:row>0</xdr:row>
      <xdr:rowOff>0</xdr:rowOff>
    </xdr:from>
    <xdr:ext cx="781050" cy="1095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295275</xdr:colOff>
      <xdr:row>2</xdr:row>
      <xdr:rowOff>0</xdr:rowOff>
    </xdr:from>
    <xdr:ext cx="3467100" cy="21526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295275</xdr:colOff>
      <xdr:row>15</xdr:row>
      <xdr:rowOff>133350</xdr:rowOff>
    </xdr:from>
    <xdr:ext cx="3467100" cy="21526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295275</xdr:colOff>
      <xdr:row>29</xdr:row>
      <xdr:rowOff>104775</xdr:rowOff>
    </xdr:from>
    <xdr:ext cx="3467100" cy="21526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85725</xdr:colOff>
      <xdr:row>2</xdr:row>
      <xdr:rowOff>0</xdr:rowOff>
    </xdr:from>
    <xdr:ext cx="3467100" cy="21526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85725</xdr:colOff>
      <xdr:row>15</xdr:row>
      <xdr:rowOff>123825</xdr:rowOff>
    </xdr:from>
    <xdr:ext cx="3467100" cy="21526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295275</xdr:colOff>
      <xdr:row>2</xdr:row>
      <xdr:rowOff>0</xdr:rowOff>
    </xdr:from>
    <xdr:ext cx="3467100" cy="21526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295275</xdr:colOff>
      <xdr:row>15</xdr:row>
      <xdr:rowOff>133350</xdr:rowOff>
    </xdr:from>
    <xdr:ext cx="3467100" cy="21526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295275</xdr:colOff>
      <xdr:row>29</xdr:row>
      <xdr:rowOff>104775</xdr:rowOff>
    </xdr:from>
    <xdr:ext cx="3467100" cy="21526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36</xdr:col>
      <xdr:colOff>85725</xdr:colOff>
      <xdr:row>2</xdr:row>
      <xdr:rowOff>0</xdr:rowOff>
    </xdr:from>
    <xdr:ext cx="3467100" cy="21526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36</xdr:col>
      <xdr:colOff>85725</xdr:colOff>
      <xdr:row>15</xdr:row>
      <xdr:rowOff>133350</xdr:rowOff>
    </xdr:from>
    <xdr:ext cx="3467100" cy="21526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47625</xdr:colOff>
      <xdr:row>29</xdr:row>
      <xdr:rowOff>85725</xdr:rowOff>
    </xdr:from>
    <xdr:ext cx="3467100" cy="21526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47625</xdr:colOff>
      <xdr:row>15</xdr:row>
      <xdr:rowOff>114300</xdr:rowOff>
    </xdr:from>
    <xdr:ext cx="3467100" cy="21526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47625</xdr:colOff>
      <xdr:row>1</xdr:row>
      <xdr:rowOff>114300</xdr:rowOff>
    </xdr:from>
    <xdr:ext cx="3467100" cy="21526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34</xdr:col>
      <xdr:colOff>695325</xdr:colOff>
      <xdr:row>1</xdr:row>
      <xdr:rowOff>114300</xdr:rowOff>
    </xdr:from>
    <xdr:ext cx="3467100" cy="21526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34</xdr:col>
      <xdr:colOff>695325</xdr:colOff>
      <xdr:row>15</xdr:row>
      <xdr:rowOff>104775</xdr:rowOff>
    </xdr:from>
    <xdr:ext cx="3467100" cy="21526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38100</xdr:colOff>
      <xdr:row>1</xdr:row>
      <xdr:rowOff>161925</xdr:rowOff>
    </xdr:from>
    <xdr:ext cx="3467100" cy="21526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209550</xdr:colOff>
      <xdr:row>1</xdr:row>
      <xdr:rowOff>161925</xdr:rowOff>
    </xdr:from>
    <xdr:ext cx="3467100" cy="21526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57150</xdr:colOff>
      <xdr:row>15</xdr:row>
      <xdr:rowOff>114300</xdr:rowOff>
    </xdr:from>
    <xdr:ext cx="3467100" cy="21526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209550</xdr:colOff>
      <xdr:row>15</xdr:row>
      <xdr:rowOff>114300</xdr:rowOff>
    </xdr:from>
    <xdr:ext cx="3467100" cy="21526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57150</xdr:colOff>
      <xdr:row>29</xdr:row>
      <xdr:rowOff>57150</xdr:rowOff>
    </xdr:from>
    <xdr:ext cx="3467100" cy="21526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1</xdr:row>
      <xdr:rowOff>142875</xdr:rowOff>
    </xdr:from>
    <xdr:ext cx="3467100" cy="215265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66675</xdr:colOff>
      <xdr:row>1</xdr:row>
      <xdr:rowOff>142875</xdr:rowOff>
    </xdr:from>
    <xdr:ext cx="3467100" cy="21526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35</xdr:col>
      <xdr:colOff>85725</xdr:colOff>
      <xdr:row>15</xdr:row>
      <xdr:rowOff>95250</xdr:rowOff>
    </xdr:from>
    <xdr:ext cx="3467100" cy="21526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95250</xdr:rowOff>
    </xdr:from>
    <xdr:ext cx="3467100" cy="21526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38100</xdr:rowOff>
    </xdr:from>
    <xdr:ext cx="3467100" cy="21526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171450</xdr:colOff>
      <xdr:row>2</xdr:row>
      <xdr:rowOff>0</xdr:rowOff>
    </xdr:from>
    <xdr:ext cx="3467100" cy="215265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171450</xdr:colOff>
      <xdr:row>2</xdr:row>
      <xdr:rowOff>0</xdr:rowOff>
    </xdr:from>
    <xdr:ext cx="3467100" cy="215265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1</xdr:row>
      <xdr:rowOff>0</xdr:rowOff>
    </xdr:from>
    <xdr:ext cx="3467100" cy="215265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171450</xdr:colOff>
      <xdr:row>1</xdr:row>
      <xdr:rowOff>0</xdr:rowOff>
    </xdr:from>
    <xdr:ext cx="3467100" cy="215265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35</xdr:col>
      <xdr:colOff>190500</xdr:colOff>
      <xdr:row>14</xdr:row>
      <xdr:rowOff>123825</xdr:rowOff>
    </xdr:from>
    <xdr:ext cx="3467100" cy="215265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14</xdr:row>
      <xdr:rowOff>123825</xdr:rowOff>
    </xdr:from>
    <xdr:ext cx="3467100" cy="215265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9525</xdr:colOff>
      <xdr:row>28</xdr:row>
      <xdr:rowOff>66675</xdr:rowOff>
    </xdr:from>
    <xdr:ext cx="3467100" cy="2152650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171450</xdr:colOff>
      <xdr:row>2</xdr:row>
      <xdr:rowOff>0</xdr:rowOff>
    </xdr:from>
    <xdr:ext cx="3467100" cy="215265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171450</xdr:colOff>
      <xdr:row>2</xdr:row>
      <xdr:rowOff>0</xdr:rowOff>
    </xdr:from>
    <xdr:ext cx="3467100" cy="215265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190500</xdr:colOff>
      <xdr:row>2</xdr:row>
      <xdr:rowOff>0</xdr:rowOff>
    </xdr:from>
    <xdr:ext cx="3467100" cy="215265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190500</xdr:colOff>
      <xdr:row>2</xdr:row>
      <xdr:rowOff>0</xdr:rowOff>
    </xdr:from>
    <xdr:ext cx="3467100" cy="2152650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73" name="Chart 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190500</xdr:colOff>
      <xdr:row>2</xdr:row>
      <xdr:rowOff>0</xdr:rowOff>
    </xdr:from>
    <xdr:ext cx="3467100" cy="2152650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190500</xdr:colOff>
      <xdr:row>2</xdr:row>
      <xdr:rowOff>0</xdr:rowOff>
    </xdr:from>
    <xdr:ext cx="3467100" cy="2152650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82" name="Chart 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83" name="Chart 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9525</xdr:colOff>
      <xdr:row>2</xdr:row>
      <xdr:rowOff>0</xdr:rowOff>
    </xdr:from>
    <xdr:ext cx="3467100" cy="2152650"/>
    <xdr:graphicFrame>
      <xdr:nvGraphicFramePr>
        <xdr:cNvPr id="84" name="Chart 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190500</xdr:colOff>
      <xdr:row>2</xdr:row>
      <xdr:rowOff>0</xdr:rowOff>
    </xdr:from>
    <xdr:ext cx="3467100" cy="2152650"/>
    <xdr:graphicFrame>
      <xdr:nvGraphicFramePr>
        <xdr:cNvPr id="85" name="Chart 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26</xdr:col>
      <xdr:colOff>9525</xdr:colOff>
      <xdr:row>15</xdr:row>
      <xdr:rowOff>123825</xdr:rowOff>
    </xdr:from>
    <xdr:ext cx="3467100" cy="2152650"/>
    <xdr:graphicFrame>
      <xdr:nvGraphicFramePr>
        <xdr:cNvPr id="86" name="Chart 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9525</xdr:colOff>
      <xdr:row>29</xdr:row>
      <xdr:rowOff>66675</xdr:rowOff>
    </xdr:from>
    <xdr:ext cx="3467100" cy="2152650"/>
    <xdr:graphicFrame>
      <xdr:nvGraphicFramePr>
        <xdr:cNvPr id="87" name="Chart 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35</xdr:col>
      <xdr:colOff>190500</xdr:colOff>
      <xdr:row>15</xdr:row>
      <xdr:rowOff>123825</xdr:rowOff>
    </xdr:from>
    <xdr:ext cx="3467100" cy="2152650"/>
    <xdr:graphicFrame>
      <xdr:nvGraphicFramePr>
        <xdr:cNvPr id="88" name="Chart 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FF00"/>
      </a:accent1>
      <a:accent2>
        <a:srgbClr val="90EE90"/>
      </a:accent2>
      <a:accent3>
        <a:srgbClr val="ADFF2F"/>
      </a:accent3>
      <a:accent4>
        <a:srgbClr val="FFFF99"/>
      </a:accent4>
      <a:accent5>
        <a:srgbClr val="FFB6C1"/>
      </a:accent5>
      <a:accent6>
        <a:srgbClr val="F79646"/>
      </a:accent6>
      <a:hlink>
        <a:srgbClr val="FF0000"/>
      </a:hlink>
      <a:folHlink>
        <a:srgbClr val="FF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ymeacoffee.com/nap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3.25"/>
    <col customWidth="1" min="3" max="3" width="2.38"/>
    <col customWidth="1" min="4" max="4" width="18.13"/>
    <col customWidth="1" min="5" max="5" width="2.75"/>
    <col customWidth="1" min="6" max="6" width="2.5"/>
    <col customWidth="1" min="7" max="7" width="3.13"/>
    <col customWidth="1" min="8" max="8" width="4.38"/>
    <col customWidth="1" min="9" max="9" width="2.38"/>
    <col customWidth="1" min="10" max="10" width="4.63"/>
    <col customWidth="1" min="11" max="11" width="3.0"/>
    <col customWidth="1" min="12" max="12" width="2.88"/>
    <col customWidth="1" min="13" max="13" width="1.5"/>
    <col customWidth="1" min="14" max="14" width="4.63"/>
    <col customWidth="1" min="15" max="15" width="3.0"/>
    <col customWidth="1" min="16" max="18" width="4.75"/>
    <col customWidth="1" min="19" max="19" width="1.13"/>
    <col customWidth="1" min="20" max="20" width="4.75"/>
    <col customWidth="1" min="21" max="21" width="3.0"/>
    <col customWidth="1" min="22" max="22" width="4.0"/>
    <col customWidth="1" min="23" max="23" width="2.88"/>
    <col customWidth="1" min="24" max="25" width="4.75"/>
    <col customWidth="1" min="26" max="26" width="1.25"/>
    <col customWidth="1" min="27" max="27" width="5.38"/>
    <col customWidth="1" min="28" max="29" width="15.13"/>
  </cols>
  <sheetData>
    <row r="1">
      <c r="A1" s="1"/>
      <c r="B1" s="14" t="str">
        <f> "Competizione: " &amp;Evento!B1  </f>
        <v>Competizione: amichevole</v>
      </c>
      <c r="C1" s="16"/>
      <c r="D1" s="17"/>
      <c r="E1" s="20"/>
      <c r="F1" s="20"/>
      <c r="G1" s="20"/>
      <c r="H1" s="20"/>
      <c r="I1" s="20"/>
      <c r="J1" s="20"/>
      <c r="K1" s="20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36" t="str">
        <f>Evento!B3 &amp; "  " &amp; Text(Evento!B2,"dd/mm/yyyy")</f>
        <v>Sanremo  18/11/2023</v>
      </c>
      <c r="AB1" s="8"/>
      <c r="AC1" s="8"/>
    </row>
    <row r="2">
      <c r="A2" s="38"/>
      <c r="B2" s="38" t="str">
        <f>Evento!B4</f>
        <v>Melodic Spikers</v>
      </c>
      <c r="C2" s="42"/>
      <c r="D2" s="42"/>
      <c r="E2" s="43"/>
      <c r="F2" s="43"/>
      <c r="G2" s="43">
        <f>if(I2&gt;I3,1,0)+if(J2&gt;J3,1,0)+if(K2&gt;K3,1,0)+if(L2&gt;L3,1,0)+if(M2&gt;M3,1,0)</f>
        <v>3</v>
      </c>
      <c r="H2" s="51"/>
      <c r="I2" s="51">
        <f>Evento!B6</f>
        <v>25</v>
      </c>
      <c r="J2" s="51">
        <f>Evento!B8</f>
        <v>25</v>
      </c>
      <c r="K2" s="20">
        <f>Evento!B10</f>
        <v>25</v>
      </c>
      <c r="L2" s="20" t="str">
        <f>Evento!B12</f>
        <v/>
      </c>
      <c r="M2" s="20" t="str">
        <f>Evento!B14</f>
        <v/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8"/>
      <c r="AC2" s="8"/>
    </row>
    <row r="3">
      <c r="A3" s="38"/>
      <c r="B3" s="38" t="str">
        <f>Evento!B5</f>
        <v>Rhythmic Blockers</v>
      </c>
      <c r="C3" s="59"/>
      <c r="D3" s="59"/>
      <c r="E3" s="60"/>
      <c r="F3" s="60"/>
      <c r="G3" s="60">
        <f>if(I3&gt;I2,1,0)+if(J3&gt;J2,1,0)+if(K3&gt;K2,1,0)+if(L3&gt;L2,1,0)+if(M3&gt;M2,1,0)</f>
        <v>0</v>
      </c>
      <c r="H3" s="51"/>
      <c r="I3" s="20">
        <f>Evento!B7</f>
        <v>16</v>
      </c>
      <c r="J3" s="20">
        <f>Evento!B9</f>
        <v>18</v>
      </c>
      <c r="K3" s="20">
        <f>Evento!B11</f>
        <v>22</v>
      </c>
      <c r="L3" s="20" t="str">
        <f>Evento!B13</f>
        <v/>
      </c>
      <c r="M3" s="20" t="str">
        <f>Evento!B15</f>
        <v/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8"/>
      <c r="AC3" s="8"/>
    </row>
    <row r="4" ht="9.75" customHeight="1">
      <c r="A4" s="38"/>
      <c r="B4" s="38"/>
      <c r="C4" s="59"/>
      <c r="D4" s="59"/>
      <c r="E4" s="60"/>
      <c r="F4" s="60"/>
      <c r="G4" s="60"/>
      <c r="H4" s="51"/>
      <c r="I4" s="20"/>
      <c r="J4" s="20"/>
      <c r="K4" s="20"/>
      <c r="L4" s="20"/>
      <c r="M4" s="20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8"/>
      <c r="AC4" s="8"/>
    </row>
    <row r="5">
      <c r="A5" s="64"/>
      <c r="B5" s="68" t="str">
        <f>Atleti!B1</f>
        <v>Melodic Spikers</v>
      </c>
      <c r="C5" s="69"/>
      <c r="D5" s="70"/>
      <c r="E5" s="71"/>
      <c r="F5" s="70"/>
      <c r="G5" s="72" t="s">
        <v>78</v>
      </c>
      <c r="H5" s="70"/>
      <c r="I5" s="71"/>
      <c r="J5" s="72" t="s">
        <v>79</v>
      </c>
      <c r="K5" s="69"/>
      <c r="L5" s="70"/>
      <c r="M5" s="71"/>
      <c r="N5" s="72" t="s">
        <v>80</v>
      </c>
      <c r="O5" s="69"/>
      <c r="P5" s="69"/>
      <c r="Q5" s="69"/>
      <c r="R5" s="70"/>
      <c r="S5" s="71"/>
      <c r="T5" s="72" t="s">
        <v>81</v>
      </c>
      <c r="U5" s="69"/>
      <c r="V5" s="69"/>
      <c r="W5" s="69"/>
      <c r="X5" s="69"/>
      <c r="Y5" s="70"/>
      <c r="Z5" s="71"/>
      <c r="AA5" s="73" t="s">
        <v>82</v>
      </c>
      <c r="AB5" s="8"/>
      <c r="AC5" s="8"/>
    </row>
    <row r="6">
      <c r="A6" s="64"/>
      <c r="B6" s="74"/>
      <c r="C6" s="75"/>
      <c r="D6" s="76"/>
      <c r="E6" s="77"/>
      <c r="F6" s="77"/>
      <c r="G6" s="79" t="s">
        <v>84</v>
      </c>
      <c r="H6" s="80" t="s">
        <v>85</v>
      </c>
      <c r="I6" s="77"/>
      <c r="J6" s="79" t="s">
        <v>84</v>
      </c>
      <c r="K6" s="81" t="s">
        <v>86</v>
      </c>
      <c r="L6" s="80" t="s">
        <v>87</v>
      </c>
      <c r="M6" s="77"/>
      <c r="N6" s="79" t="s">
        <v>84</v>
      </c>
      <c r="O6" s="81" t="s">
        <v>86</v>
      </c>
      <c r="P6" s="81" t="s">
        <v>88</v>
      </c>
      <c r="Q6" s="81" t="s">
        <v>89</v>
      </c>
      <c r="R6" s="82" t="s">
        <v>90</v>
      </c>
      <c r="S6" s="77"/>
      <c r="T6" s="79" t="s">
        <v>84</v>
      </c>
      <c r="U6" s="81" t="s">
        <v>86</v>
      </c>
      <c r="V6" s="81" t="s">
        <v>91</v>
      </c>
      <c r="W6" s="81" t="s">
        <v>87</v>
      </c>
      <c r="X6" s="81" t="s">
        <v>92</v>
      </c>
      <c r="Y6" s="82" t="s">
        <v>90</v>
      </c>
      <c r="Z6" s="77"/>
      <c r="AA6" s="83" t="s">
        <v>87</v>
      </c>
      <c r="AB6" s="8"/>
      <c r="AC6" s="8"/>
    </row>
    <row r="7">
      <c r="A7" s="8"/>
      <c r="B7" s="84">
        <f>Atleti!B3</f>
        <v>19</v>
      </c>
      <c r="C7" s="85" t="str">
        <f>Atleti!C3</f>
        <v/>
      </c>
      <c r="D7" s="86" t="str">
        <f>Atleti!D3</f>
        <v>Elisa Toffoli</v>
      </c>
      <c r="E7" s="88"/>
      <c r="F7" s="88"/>
      <c r="G7" s="89">
        <f>IF('Gioc A'!$K$11=0,"-",'Gioc A'!$K$11)</f>
        <v>6</v>
      </c>
      <c r="H7" s="90">
        <f>if('Gioc A'!K17=0,"-",'Gioc A'!K17)</f>
        <v>4</v>
      </c>
      <c r="I7" s="88"/>
      <c r="J7" s="89">
        <f>if('Gioc A'!$H$13=0,"-",'Gioc A'!$H$13)</f>
        <v>13</v>
      </c>
      <c r="K7" s="91">
        <f>if('Gioc A'!$G$13=0,"-",'Gioc A'!$G$13)</f>
        <v>2</v>
      </c>
      <c r="L7" s="90">
        <f>if('Gioc A'!$B$13=0,"-",'Gioc A'!$B$13)</f>
        <v>1</v>
      </c>
      <c r="M7" s="88"/>
      <c r="N7" s="89">
        <f>if('Gioc A'!$H$6=0,"-",'Gioc A'!$H$6)</f>
        <v>10</v>
      </c>
      <c r="O7" s="85" t="str">
        <f>if('Gioc A'!$G$6=0,"-",'Gioc A'!$G$6)</f>
        <v>-</v>
      </c>
      <c r="P7" s="92">
        <f>if('Gioc A'!$B$9=0,"-",'Gioc A'!$B$9)</f>
        <v>0.8</v>
      </c>
      <c r="Q7" s="93">
        <f>If('Gioc A'!$B$6&gt;0,('Gioc A'!$B$6/'Gioc A'!$H$6),"-")</f>
        <v>0.4</v>
      </c>
      <c r="R7" s="93">
        <f>If('Gioc A'!$B$8&gt;0,'Gioc A'!$B$8,"-")</f>
        <v>0.4</v>
      </c>
      <c r="S7" s="88"/>
      <c r="T7" s="89">
        <f>if('Gioc A'!$H$20=0,"-",'Gioc A'!$H$20)</f>
        <v>11</v>
      </c>
      <c r="U7" s="85" t="str">
        <f>if('Gioc A'!$G$20=0,"-",'Gioc A'!$G$20)</f>
        <v>-</v>
      </c>
      <c r="V7" s="85" t="str">
        <f>if('Gioc A'!$F$20=0,"-",'Gioc A'!$F$20)</f>
        <v>-</v>
      </c>
      <c r="W7" s="91">
        <f>if('Gioc A'!$B$20=0,"-",'Gioc A'!$B$20)</f>
        <v>5</v>
      </c>
      <c r="X7" s="94">
        <f>if('Gioc A'!$B$20&gt;0,'Gioc A'!$B$20/'Gioc A'!$H$20,"-")</f>
        <v>0.4545454545</v>
      </c>
      <c r="Y7" s="95">
        <f>if('Gioc A'!B$22&gt;0,'Gioc A'!B$22,"-")</f>
        <v>0.4545454545</v>
      </c>
      <c r="Z7" s="88"/>
      <c r="AA7" s="96" t="str">
        <f>if('Gioc A'!$J$6=0,"-",'Gioc A'!$J$6)</f>
        <v>-</v>
      </c>
      <c r="AB7" s="8"/>
      <c r="AC7" s="8"/>
    </row>
    <row r="8">
      <c r="A8" s="8"/>
      <c r="B8" s="84">
        <f>Atleti!B4</f>
        <v>1</v>
      </c>
      <c r="C8" s="97" t="str">
        <f>Atleti!C4</f>
        <v/>
      </c>
      <c r="D8" s="86" t="str">
        <f>Atleti!D4</f>
        <v>Irene Grandi</v>
      </c>
      <c r="E8" s="98"/>
      <c r="F8" s="98"/>
      <c r="G8" s="99">
        <f>IF('Gioc B'!$K$11=0,"-",'Gioc B'!$K$11)</f>
        <v>5</v>
      </c>
      <c r="H8" s="90">
        <f>if('Gioc B'!K17=0,"-",'Gioc B'!K17)</f>
        <v>4</v>
      </c>
      <c r="I8" s="98"/>
      <c r="J8" s="99">
        <f>if('Gioc B'!$H$13=0,"-",'Gioc B'!$H$13)</f>
        <v>1</v>
      </c>
      <c r="K8" s="97" t="str">
        <f>if('Gioc B'!$G$13=0,"-",'Gioc B'!$G$13)</f>
        <v>-</v>
      </c>
      <c r="L8" s="100" t="str">
        <f>if('Gioc B'!$B$13=0,"-",'Gioc B'!$B$13)</f>
        <v>-</v>
      </c>
      <c r="M8" s="98"/>
      <c r="N8" s="101" t="str">
        <f>if('Gioc B'!$H$6=0,"-",'Gioc B'!$H$6)</f>
        <v>-</v>
      </c>
      <c r="O8" s="97" t="str">
        <f>if('Gioc B'!$G$6=0,"-",'Gioc B'!$G$6)</f>
        <v>-</v>
      </c>
      <c r="P8" s="97" t="str">
        <f>if('Gioc B'!$B$9=0,"-",'Gioc B'!$B$9)</f>
        <v>-</v>
      </c>
      <c r="Q8" s="102" t="str">
        <f>If('Gioc B'!$B$6&gt;0,('Gioc B'!$B$6/'Gioc B'!$H$6),"-")</f>
        <v>-</v>
      </c>
      <c r="R8" s="93" t="str">
        <f>If('Gioc B'!$B$8&gt;0,'Gioc B'!$B$8,"-")</f>
        <v>-</v>
      </c>
      <c r="S8" s="98"/>
      <c r="T8" s="89">
        <f>if('Gioc B'!$H$20=0,"-",'Gioc B'!$H$20)</f>
        <v>6</v>
      </c>
      <c r="U8" s="97" t="str">
        <f>if('Gioc B'!$G$20=0,"-",'Gioc B'!$G$20)</f>
        <v>-</v>
      </c>
      <c r="V8" s="97" t="str">
        <f>if('Gioc B'!$F$20=0,"-",'Gioc B'!$F$20)</f>
        <v>-</v>
      </c>
      <c r="W8" s="103">
        <f>if('Gioc B'!$B$20=0,"-",'Gioc B'!$B$20)</f>
        <v>4</v>
      </c>
      <c r="X8" s="94">
        <f>if('Gioc B'!$B$20&gt;0,'Gioc B'!$B$20/'Gioc B'!$H$20,"-")</f>
        <v>0.6666666667</v>
      </c>
      <c r="Y8" s="95">
        <f>if('Gioc B'!B$22&gt;0,'Gioc B'!B$22,"-")</f>
        <v>0.6666666667</v>
      </c>
      <c r="Z8" s="98"/>
      <c r="AA8" s="104">
        <f>if('Gioc B'!$J$6=0,"-",'Gioc B'!$J$6)</f>
        <v>1</v>
      </c>
      <c r="AB8" s="8"/>
      <c r="AC8" s="8"/>
    </row>
    <row r="9">
      <c r="A9" s="8"/>
      <c r="B9" s="84">
        <f>Atleti!B5</f>
        <v>13</v>
      </c>
      <c r="C9" s="97" t="str">
        <f>Atleti!C5</f>
        <v/>
      </c>
      <c r="D9" s="86" t="str">
        <f>Atleti!D5</f>
        <v>Giorgia Trodani</v>
      </c>
      <c r="E9" s="98"/>
      <c r="F9" s="98"/>
      <c r="G9" s="99" t="str">
        <f>IF('Gioc C'!$K$11=0,"-",'Gioc C'!$L$11)</f>
        <v>-</v>
      </c>
      <c r="H9" s="90" t="str">
        <f>if('Gioc C'!K17=0,"-",'Gioc C'!K17)</f>
        <v>-</v>
      </c>
      <c r="I9" s="98"/>
      <c r="J9" s="99" t="str">
        <f>if('Gioc C'!$H$13=0,"-",'Gioc C'!$H$13)</f>
        <v>-</v>
      </c>
      <c r="K9" s="97" t="str">
        <f>if('Gioc C'!$G$13=0,"-",'Gioc C'!$G$13)</f>
        <v>-</v>
      </c>
      <c r="L9" s="100" t="str">
        <f>if('Gioc C'!$B$13=0,"-",'Gioc C'!$B$13)</f>
        <v>-</v>
      </c>
      <c r="M9" s="98"/>
      <c r="N9" s="101" t="str">
        <f>if('Gioc C'!$H$6=0,"-",'Gioc C'!$H$6)</f>
        <v>-</v>
      </c>
      <c r="O9" s="97" t="str">
        <f>if('Gioc C'!$G$6=0,"-",'Gioc C'!$G$6)</f>
        <v>-</v>
      </c>
      <c r="P9" s="97" t="str">
        <f>if('Gioc C'!$B$9=0,"-",'Gioc C'!$B$9)</f>
        <v>-</v>
      </c>
      <c r="Q9" s="102" t="str">
        <f>If('Gioc C'!$B$6&gt;0,('Gioc C'!$B$6/'Gioc C'!$H$6),"-")</f>
        <v>-</v>
      </c>
      <c r="R9" s="93" t="str">
        <f>If('Gioc C'!$B$8&gt;0,'Gioc C'!$B$8,"-")</f>
        <v>-</v>
      </c>
      <c r="S9" s="98"/>
      <c r="T9" s="89" t="str">
        <f>if('Gioc C'!$H$20=0,"-",'Gioc C'!$H$20)</f>
        <v>-</v>
      </c>
      <c r="U9" s="103" t="str">
        <f>if('Gioc C'!$G$20=0,"-",'Gioc C'!$G$20)</f>
        <v>-</v>
      </c>
      <c r="V9" s="97" t="str">
        <f>if('Gioc C'!$F$20=0,"-",'Gioc C'!$F$20)</f>
        <v>-</v>
      </c>
      <c r="W9" s="103" t="str">
        <f>if('Gioc C'!$B$20=0,"-",'Gioc C'!$B$20)</f>
        <v>-</v>
      </c>
      <c r="X9" s="94" t="str">
        <f>if('Gioc C'!$B$20&gt;0,'Gioc C'!$B$20/'Gioc C'!$H$20,"-")</f>
        <v>-</v>
      </c>
      <c r="Y9" s="95" t="str">
        <f>if('Gioc C'!B$22&gt;0,'Gioc C'!B$22,"-")</f>
        <v>-</v>
      </c>
      <c r="Z9" s="98"/>
      <c r="AA9" s="105" t="str">
        <f>if('Gioc C'!$J$6=0,"-",'Gioc C'!$J$6)</f>
        <v>-</v>
      </c>
      <c r="AB9" s="8"/>
      <c r="AC9" s="8"/>
    </row>
    <row r="10">
      <c r="A10" s="8"/>
      <c r="B10" s="84">
        <f>Atleti!B6</f>
        <v>10</v>
      </c>
      <c r="C10" s="97" t="str">
        <f>Atleti!C6</f>
        <v/>
      </c>
      <c r="D10" s="86" t="str">
        <f>Atleti!D6</f>
        <v>Emma Marrone</v>
      </c>
      <c r="E10" s="98"/>
      <c r="F10" s="98"/>
      <c r="G10" s="99">
        <f>IF('Gioc D'!$K$11=0,"-",'Gioc D'!$K$11)</f>
        <v>3</v>
      </c>
      <c r="H10" s="90">
        <f>if('Gioc D'!K17=0,"-",'Gioc D'!K17)</f>
        <v>2</v>
      </c>
      <c r="I10" s="98"/>
      <c r="J10" s="99">
        <f>if('Gioc D'!$H$13=0,"-",'Gioc D'!$H$13)</f>
        <v>3</v>
      </c>
      <c r="K10" s="103" t="str">
        <f>if('Gioc D'!$G$13=0,"-",'Gioc D'!$G$13)</f>
        <v>-</v>
      </c>
      <c r="L10" s="106">
        <f>if('Gioc D'!$B$13=0,"-",'Gioc D'!$B$13)</f>
        <v>2</v>
      </c>
      <c r="M10" s="98"/>
      <c r="N10" s="99">
        <f>if('Gioc D'!$H$6=0,"-",'Gioc D'!$H$6)</f>
        <v>2</v>
      </c>
      <c r="O10" s="97" t="str">
        <f>if('Gioc D'!$G$6=0,"-",'Gioc D'!$G$6)</f>
        <v>-</v>
      </c>
      <c r="P10" s="107">
        <f>if('Gioc D'!$B$9=0,"-",'Gioc D'!$B$9)</f>
        <v>0.5</v>
      </c>
      <c r="Q10" s="102">
        <f>If('Gioc D'!$B$6&gt;0,('Gioc D'!$B$6/'Gioc D'!$H$6),"-")</f>
        <v>0.5</v>
      </c>
      <c r="R10" s="93">
        <f>If('Gioc D'!$B$8&gt;0,'Gioc D'!$B$8,"-")</f>
        <v>0.5</v>
      </c>
      <c r="S10" s="98"/>
      <c r="T10" s="89">
        <f>if('Gioc D'!$H$20=0,"-",'Gioc D'!$H$20)</f>
        <v>3</v>
      </c>
      <c r="U10" s="103">
        <f>if('Gioc D'!$G$20=0,"-",'Gioc D'!$G$20)</f>
        <v>1</v>
      </c>
      <c r="V10" s="97" t="str">
        <f>if('Gioc D'!$F$20=0,"-",'Gioc D'!$F$20)</f>
        <v>-</v>
      </c>
      <c r="W10" s="103">
        <f>if('Gioc D'!$B$20=0,"-",'Gioc D'!$B$20)</f>
        <v>1</v>
      </c>
      <c r="X10" s="94">
        <f>if('Gioc D'!$B$20&gt;0,'Gioc D'!$B$20/'Gioc D'!$H$20,"-")</f>
        <v>0.3333333333</v>
      </c>
      <c r="Y10" s="95" t="str">
        <f>if('Gioc D'!B$22&gt;0,'Gioc D'!B$22,"-")</f>
        <v>-</v>
      </c>
      <c r="Z10" s="98"/>
      <c r="AA10" s="105" t="str">
        <f>if('Gioc D'!$J$6=0,"-",'Gioc D'!$J$6)</f>
        <v>-</v>
      </c>
      <c r="AB10" s="8"/>
      <c r="AC10" s="8"/>
    </row>
    <row r="11">
      <c r="A11" s="8"/>
      <c r="B11" s="84">
        <f>Atleti!B7</f>
        <v>11</v>
      </c>
      <c r="C11" s="97" t="str">
        <f>Atleti!C7</f>
        <v>L</v>
      </c>
      <c r="D11" s="86" t="str">
        <f>Atleti!D7</f>
        <v>Lorendana Bertè</v>
      </c>
      <c r="E11" s="98"/>
      <c r="F11" s="98"/>
      <c r="G11" s="101" t="str">
        <f>IF('Gioc E'!$K$11=0,"-",'Gioc E'!$K$11)</f>
        <v>-</v>
      </c>
      <c r="H11" s="108" t="str">
        <f>if('Gioc E'!K17=0,"-",'Gioc E'!K17)</f>
        <v>-</v>
      </c>
      <c r="I11" s="98"/>
      <c r="J11" s="101" t="str">
        <f>if('Gioc E'!$H$13=0,"-",'Gioc E'!$H$13)</f>
        <v>-</v>
      </c>
      <c r="K11" s="97" t="str">
        <f>if('Gioc E'!$G$13=0,"-",'Gioc E'!$G$13)</f>
        <v>-</v>
      </c>
      <c r="L11" s="100" t="str">
        <f>if('Gioc E'!$B$13=0,"-",'Gioc E'!$B$13)</f>
        <v>-</v>
      </c>
      <c r="M11" s="98"/>
      <c r="N11" s="101" t="str">
        <f>if('Gioc E'!$H$6=0,"-",'Gioc E'!$H$6)</f>
        <v>-</v>
      </c>
      <c r="O11" s="97" t="str">
        <f>if('Gioc E'!$G$6=0,"-",'Gioc E'!$G$6)</f>
        <v>-</v>
      </c>
      <c r="P11" s="97" t="str">
        <f>if('Gioc E'!$B$9=0,"-",'Gioc E'!$B$9)</f>
        <v>-</v>
      </c>
      <c r="Q11" s="102" t="str">
        <f>If('Gioc E'!$B$6&gt;0,('Gioc E'!$B$6/'Gioc E'!$H$6),"-")</f>
        <v>-</v>
      </c>
      <c r="R11" s="93" t="str">
        <f>If('Gioc E'!$B$8&gt;0,'Gioc E'!$B$8,"-")</f>
        <v>-</v>
      </c>
      <c r="S11" s="98"/>
      <c r="T11" s="109" t="str">
        <f>if('Gioc E'!$H$20=0,"-",'Gioc E'!$H$20)</f>
        <v>-</v>
      </c>
      <c r="U11" s="97" t="str">
        <f>if('Gioc E'!$G$20=0,"-",'Gioc E'!$G$20)</f>
        <v>-</v>
      </c>
      <c r="V11" s="97" t="str">
        <f>if('Gioc E'!$F$20=0,"-",'Gioc E'!$F$20)</f>
        <v>-</v>
      </c>
      <c r="W11" s="97" t="str">
        <f>if('Gioc E'!$B$20=0,"-",'Gioc E'!$B$20)</f>
        <v>-</v>
      </c>
      <c r="X11" s="94" t="str">
        <f>if('Gioc E'!$B$20&gt;0,'Gioc E'!$B$20/'Gioc E'!$H$20,"-")</f>
        <v>-</v>
      </c>
      <c r="Y11" s="95" t="str">
        <f>if('Gioc E'!B$22&gt;0,'Gioc E'!B$22,"-")</f>
        <v>-</v>
      </c>
      <c r="Z11" s="98"/>
      <c r="AA11" s="105" t="str">
        <f>if('Gioc E'!$J$6=0,"-",'Gioc E'!$J$6)</f>
        <v>-</v>
      </c>
      <c r="AB11" s="8"/>
      <c r="AC11" s="8"/>
    </row>
    <row r="12">
      <c r="A12" s="8"/>
      <c r="B12" s="84">
        <f>Atleti!B8</f>
        <v>9</v>
      </c>
      <c r="C12" s="85" t="str">
        <f>Atleti!C8</f>
        <v/>
      </c>
      <c r="D12" s="86" t="str">
        <f>Atleti!D8</f>
        <v>Elodie Patrizi</v>
      </c>
      <c r="E12" s="98"/>
      <c r="F12" s="98"/>
      <c r="G12" s="99">
        <f>IF('Gioc F'!$K$11=0,"-",'Gioc F'!$K$11)</f>
        <v>5</v>
      </c>
      <c r="H12" s="90">
        <f>if('Gioc F'!K17=0,"-",'Gioc F'!K17)</f>
        <v>2</v>
      </c>
      <c r="I12" s="98"/>
      <c r="J12" s="99">
        <f>if('Gioc F'!$H$13=0,"-",'Gioc F'!$H$13)</f>
        <v>12</v>
      </c>
      <c r="K12" s="103">
        <f>if('Gioc F'!$G$13=0,"-",'Gioc F'!$G$13)</f>
        <v>3</v>
      </c>
      <c r="L12" s="106">
        <f>if('Gioc F'!$B$13=0,"-",'Gioc F'!$B$13)</f>
        <v>3</v>
      </c>
      <c r="M12" s="98"/>
      <c r="N12" s="99" t="str">
        <f>if('Gioc F'!$H$6=0,"-",'Gioc F'!$H$6)</f>
        <v>-</v>
      </c>
      <c r="O12" s="97" t="str">
        <f>if('Gioc F'!$F$6=0,"-",'Gioc F'!$F$6)</f>
        <v>-</v>
      </c>
      <c r="P12" s="107" t="str">
        <f>if('Gioc F'!$B$9=0,"-",'Gioc F'!$B$9)</f>
        <v>-</v>
      </c>
      <c r="Q12" s="102" t="str">
        <f>If('Gioc F'!$B$6&gt;0,('Gioc F'!$B$6/'Gioc F'!$H$6),"-")</f>
        <v>-</v>
      </c>
      <c r="R12" s="93" t="str">
        <f>If('Gioc F'!$B$8&gt;0,'Gioc F'!$B$8,"-")</f>
        <v>-</v>
      </c>
      <c r="S12" s="98"/>
      <c r="T12" s="89">
        <f>if('Gioc F'!$H$20=0,"-",'Gioc F'!$H$20)</f>
        <v>3</v>
      </c>
      <c r="U12" s="103" t="str">
        <f>if('Gioc F'!$G$20=0,"-",'Gioc F'!$G$20)</f>
        <v>-</v>
      </c>
      <c r="V12" s="97" t="str">
        <f>if('Gioc F'!$F$20=0,"-",'Gioc F'!$F$20)</f>
        <v>-</v>
      </c>
      <c r="W12" s="103">
        <f>if('Gioc F'!$B$20=0,"-",'Gioc F'!$B$20)</f>
        <v>1</v>
      </c>
      <c r="X12" s="94">
        <f>if('Gioc F'!$B$20&gt;0,'Gioc F'!$B$20/'Gioc F'!$H$20,"-")</f>
        <v>0.3333333333</v>
      </c>
      <c r="Y12" s="95">
        <f>if('Gioc F'!B$22&gt;0,'Gioc F'!B$22,"-")</f>
        <v>0.3333333333</v>
      </c>
      <c r="Z12" s="98"/>
      <c r="AA12" s="104">
        <f>if('Gioc F'!$J$6=0,"-",'Gioc F'!$J$6)</f>
        <v>1</v>
      </c>
      <c r="AB12" s="8"/>
      <c r="AC12" s="8"/>
    </row>
    <row r="13">
      <c r="A13" s="8"/>
      <c r="B13" s="84">
        <f>Atleti!B9</f>
        <v>5</v>
      </c>
      <c r="C13" s="97" t="str">
        <f>Atleti!C9</f>
        <v/>
      </c>
      <c r="D13" s="86" t="str">
        <f>Atleti!D9</f>
        <v>Laura Pausini</v>
      </c>
      <c r="E13" s="98"/>
      <c r="F13" s="98"/>
      <c r="G13" s="99">
        <f>IF('Gioc G'!$K$11=0,"-",'Gioc G'!$K$11)</f>
        <v>5</v>
      </c>
      <c r="H13" s="90">
        <f>if('Gioc G'!K17=0,"-",'Gioc G'!K17)</f>
        <v>3</v>
      </c>
      <c r="I13" s="98"/>
      <c r="J13" s="99">
        <f>if('Gioc G'!$H$13=0,"-",'Gioc G'!$H$13)</f>
        <v>15</v>
      </c>
      <c r="K13" s="103">
        <f>if('Gioc G'!$G$13=0,"-",'Gioc G'!$G$13)</f>
        <v>2</v>
      </c>
      <c r="L13" s="106">
        <f>if('Gioc G'!$B$13=0,"-",'Gioc G'!$B$13)</f>
        <v>2</v>
      </c>
      <c r="M13" s="98"/>
      <c r="N13" s="99" t="str">
        <f>if('Gioc G'!$H$6=0,"-",'Gioc G'!$H$6)</f>
        <v>-</v>
      </c>
      <c r="O13" s="103" t="str">
        <f>if('Gioc G'!$G$6=0,"-",'Gioc G'!$G$6)</f>
        <v>-</v>
      </c>
      <c r="P13" s="107" t="str">
        <f>if('Gioc G'!$B$9=0,"-",'Gioc G'!$B$9)</f>
        <v>-</v>
      </c>
      <c r="Q13" s="102" t="str">
        <f>If('Gioc G'!$B$6&gt;0,('Gioc G'!$B$6/'Gioc G'!$H$6),"-")</f>
        <v>-</v>
      </c>
      <c r="R13" s="93" t="str">
        <f>If('Gioc G'!$B$8&gt;0,'Gioc G'!$B$8,"-")</f>
        <v>-</v>
      </c>
      <c r="S13" s="98"/>
      <c r="T13" s="89">
        <f>if('Gioc G'!$H$20=0,"-",'Gioc G'!$H$20)</f>
        <v>2</v>
      </c>
      <c r="U13" s="103" t="str">
        <f>if('Gioc G'!$G$20=0,"-",'Gioc G'!$G$20)</f>
        <v>-</v>
      </c>
      <c r="V13" s="97" t="str">
        <f>if('Gioc G'!$F$20=0,"-",'Gioc G'!$F$20)</f>
        <v>-</v>
      </c>
      <c r="W13" s="103">
        <f>if('Gioc G'!$B$20=0,"-",'Gioc G'!$B$20)</f>
        <v>1</v>
      </c>
      <c r="X13" s="94">
        <f>if('Gioc G'!$B$20&gt;0,'Gioc G'!$B$20/'Gioc G'!$H$20,"-")</f>
        <v>0.5</v>
      </c>
      <c r="Y13" s="95">
        <f>if('Gioc G'!B$22&gt;0,'Gioc G'!B$22,"-")</f>
        <v>0.5</v>
      </c>
      <c r="Z13" s="98"/>
      <c r="AA13" s="104">
        <f>if('Gioc G'!$J$6=0,"-",'Gioc G'!$J$6)</f>
        <v>2</v>
      </c>
      <c r="AB13" s="8"/>
      <c r="AC13" s="8"/>
    </row>
    <row r="14">
      <c r="A14" s="8"/>
      <c r="B14" s="84">
        <f>Atleti!B10</f>
        <v>18</v>
      </c>
      <c r="C14" s="97" t="str">
        <f>Atleti!C10</f>
        <v/>
      </c>
      <c r="D14" s="86" t="str">
        <f>Atleti!D10</f>
        <v>Annalisa Scarrone</v>
      </c>
      <c r="E14" s="98"/>
      <c r="F14" s="98"/>
      <c r="G14" s="99" t="str">
        <f>IF('Gioc H'!$K$11=0,"-",'Gioc H'!$K$11)</f>
        <v>-</v>
      </c>
      <c r="H14" s="90" t="str">
        <f>if('Gioc H'!K17=0,"-",'Gioc H'!K17)</f>
        <v>-</v>
      </c>
      <c r="I14" s="98"/>
      <c r="J14" s="99" t="str">
        <f>if('Gioc H'!$H$13=0,"-",'Gioc H'!$H$13)</f>
        <v>-</v>
      </c>
      <c r="K14" s="103" t="str">
        <f>if('Gioc H'!$G$13=0,"-",'Gioc H'!$G$13)</f>
        <v>-</v>
      </c>
      <c r="L14" s="100" t="str">
        <f>if('Gioc H'!$B$13=0,"-",'Gioc H'!$B$13)</f>
        <v>-</v>
      </c>
      <c r="M14" s="98"/>
      <c r="N14" s="99" t="str">
        <f>if('Gioc H'!$H$6=0,"-",'Gioc H'!$H$6)</f>
        <v>-</v>
      </c>
      <c r="O14" s="97" t="str">
        <f>if('Gioc H'!$G$6=0,"-",'Gioc H'!$G$6)</f>
        <v>-</v>
      </c>
      <c r="P14" s="107" t="str">
        <f>if('Gioc H'!$B$9=0,"-",'Gioc H'!$B$9)</f>
        <v>-</v>
      </c>
      <c r="Q14" s="102" t="str">
        <f>If('Gioc H'!$B$6&gt;0,('Gioc H'!$B$6/'Gioc H'!$H$6),"-")</f>
        <v>-</v>
      </c>
      <c r="R14" s="93" t="str">
        <f>If('Gioc H'!$B$8&gt;0,'Gioc H'!$B$8,"-")</f>
        <v>-</v>
      </c>
      <c r="S14" s="98"/>
      <c r="T14" s="89" t="str">
        <f>if('Gioc H'!$H$20=0,"-",'Gioc H'!$H$20)</f>
        <v>-</v>
      </c>
      <c r="U14" s="103" t="str">
        <f>if('Gioc H'!$G$20=0,"-",'Gioc H'!$G$20)</f>
        <v>-</v>
      </c>
      <c r="V14" s="97" t="str">
        <f>if('Gioc H'!$F$20=0,"-",'Gioc H'!$F$20)</f>
        <v>-</v>
      </c>
      <c r="W14" s="103" t="str">
        <f>if('Gioc H'!$B$20=0,"-",'Gioc H'!$B$20)</f>
        <v>-</v>
      </c>
      <c r="X14" s="94" t="str">
        <f>if('Gioc H'!$B$20&gt;0,'Gioc H'!$B$20/'Gioc H'!$H$20,"-")</f>
        <v>-</v>
      </c>
      <c r="Y14" s="95" t="str">
        <f>if('Gioc H'!B$22&gt;0,'Gioc H'!B$22,"-")</f>
        <v>-</v>
      </c>
      <c r="Z14" s="98"/>
      <c r="AA14" s="105" t="str">
        <f>if('Gioc H'!$J$6=0,"-",'Gioc H'!$J$6)</f>
        <v>-</v>
      </c>
      <c r="AB14" s="8"/>
      <c r="AC14" s="8"/>
    </row>
    <row r="15">
      <c r="A15" s="8"/>
      <c r="B15" s="84">
        <f>Atleti!B11</f>
        <v>22</v>
      </c>
      <c r="C15" s="97" t="str">
        <f>Atleti!C11</f>
        <v/>
      </c>
      <c r="D15" s="86" t="str">
        <f>Atleti!D11</f>
        <v>Sara Sorrenti</v>
      </c>
      <c r="E15" s="98"/>
      <c r="F15" s="98"/>
      <c r="G15" s="99">
        <f>IF('Gioc I'!$K$11=0,"-",'Gioc I'!$K$11)</f>
        <v>7</v>
      </c>
      <c r="H15" s="90">
        <f>if('Gioc I'!K17=0,"-",'Gioc I'!K17)</f>
        <v>4</v>
      </c>
      <c r="I15" s="98"/>
      <c r="J15" s="99">
        <f>if('Gioc I'!$H$13=0,"-",'Gioc I'!$H$13)</f>
        <v>5</v>
      </c>
      <c r="K15" s="103">
        <f>if('Gioc I'!$G$13=0,"-",'Gioc I'!$G$13)</f>
        <v>1</v>
      </c>
      <c r="L15" s="100" t="str">
        <f>if('Gioc I'!$B$13=0,"-",'Gioc I'!$B$13)</f>
        <v>-</v>
      </c>
      <c r="M15" s="98"/>
      <c r="N15" s="101" t="str">
        <f>if('Gioc I'!$H$6=0,"-",'Gioc I'!$H$6)</f>
        <v>-</v>
      </c>
      <c r="O15" s="97" t="str">
        <f>if('Gioc I'!$G$6=0,"-",'Gioc I'!$G$6)</f>
        <v>-</v>
      </c>
      <c r="P15" s="97" t="str">
        <f>if('Gioc I'!$B$9=0,"-",'Gioc I'!$B$9)</f>
        <v>-</v>
      </c>
      <c r="Q15" s="102" t="str">
        <f>If('Gioc I'!$B$6&gt;0,('Gioc I'!$B$6/'Gioc I'!$H$6),"-")</f>
        <v>-</v>
      </c>
      <c r="R15" s="93" t="str">
        <f>If('Gioc I'!$B$8&gt;0,'Gioc I'!$B$8,"-")</f>
        <v>-</v>
      </c>
      <c r="S15" s="98"/>
      <c r="T15" s="89">
        <f>if('Gioc I'!$H$20=0,"-",'Gioc I'!$H$20)</f>
        <v>21</v>
      </c>
      <c r="U15" s="103">
        <f>if('Gioc I'!$G$20=0,"-",'Gioc I'!$G$20)</f>
        <v>2</v>
      </c>
      <c r="V15" s="103">
        <f>if('Gioc I'!$F$20=0,"-",'Gioc I'!$F$20)</f>
        <v>2</v>
      </c>
      <c r="W15" s="103">
        <f>if('Gioc I'!$B$20=0,"-",'Gioc I'!$B$20)</f>
        <v>7</v>
      </c>
      <c r="X15" s="94">
        <f>if('Gioc I'!$B$20&gt;0,'Gioc I'!$B$20/'Gioc I'!$H$20,"-")</f>
        <v>0.3333333333</v>
      </c>
      <c r="Y15" s="95">
        <f>if('Gioc I'!B$22&gt;0,'Gioc I'!B$22,"-")</f>
        <v>0.2380952381</v>
      </c>
      <c r="Z15" s="98"/>
      <c r="AA15" s="105" t="str">
        <f>if('Gioc I'!$J$6=0,"-",'Gioc I'!$J$6)</f>
        <v>-</v>
      </c>
      <c r="AB15" s="8"/>
      <c r="AC15" s="8"/>
    </row>
    <row r="16">
      <c r="A16" s="8"/>
      <c r="B16" s="84">
        <f>Atleti!B12</f>
        <v>12</v>
      </c>
      <c r="C16" s="97" t="str">
        <f>Atleti!C12</f>
        <v/>
      </c>
      <c r="D16" s="86" t="str">
        <f>Atleti!D12</f>
        <v>Veronica Scopelliti</v>
      </c>
      <c r="E16" s="98"/>
      <c r="F16" s="98"/>
      <c r="G16" s="99">
        <f>IF('Gioc J'!$K$11=0,"-",'Gioc J'!$K$11)</f>
        <v>5</v>
      </c>
      <c r="H16" s="90">
        <f>if('Gioc J'!K17=0,"-",'Gioc J'!K17)</f>
        <v>1</v>
      </c>
      <c r="I16" s="98"/>
      <c r="J16" s="99">
        <f>if('Gioc J'!$H$13=0,"-",'Gioc J'!$H$13)</f>
        <v>3</v>
      </c>
      <c r="K16" s="103">
        <f>if('Gioc J'!$G$13=0,"-",'Gioc J'!$G$13)</f>
        <v>1</v>
      </c>
      <c r="L16" s="106" t="str">
        <f>if('Gioc J'!$B$13=0,"-",'Gioc J'!$B$13)</f>
        <v>-</v>
      </c>
      <c r="M16" s="98"/>
      <c r="N16" s="99" t="str">
        <f>if('Gioc J'!$H$6=0,"-",'Gioc J'!$H$6)</f>
        <v>-</v>
      </c>
      <c r="O16" s="97" t="str">
        <f>if('Gioc J'!$G$6=0,"-",'Gioc J'!$G$6)</f>
        <v>-</v>
      </c>
      <c r="P16" s="97" t="str">
        <f>if('Gioc J'!$B$9=0,"-",'Gioc J'!$B$9)</f>
        <v>-</v>
      </c>
      <c r="Q16" s="102" t="str">
        <f>If('Gioc J'!$B$6&gt;0,('Gioc J'!$B$6/'Gioc J'!$H$6),"-")</f>
        <v>-</v>
      </c>
      <c r="R16" s="93" t="str">
        <f>If('Gioc J'!$B$8&gt;0,'Gioc J'!$B$8,"-")</f>
        <v>-</v>
      </c>
      <c r="S16" s="98"/>
      <c r="T16" s="89">
        <f>if('Gioc J'!$H$20=0,"-",'Gioc J'!$H$20)</f>
        <v>10</v>
      </c>
      <c r="U16" s="103">
        <f>if('Gioc J'!$G$20=0,"-",'Gioc J'!$G$20)</f>
        <v>2</v>
      </c>
      <c r="V16" s="97" t="str">
        <f>if('Gioc J'!$F$20=0,"-",'Gioc J'!$F$20)</f>
        <v>-</v>
      </c>
      <c r="W16" s="103">
        <f>if('Gioc J'!$B$20=0,"-",'Gioc J'!$B$20)</f>
        <v>5</v>
      </c>
      <c r="X16" s="94">
        <f>if('Gioc J'!$B$20&gt;0,'Gioc J'!$B$20/'Gioc J'!$H$20,"-")</f>
        <v>0.5</v>
      </c>
      <c r="Y16" s="95">
        <f>if('Gioc J'!B$22&gt;0,'Gioc J'!B$22,"-")</f>
        <v>0.3</v>
      </c>
      <c r="Z16" s="98"/>
      <c r="AA16" s="104" t="str">
        <f>if('Gioc J'!$J$6=0,"-",'Gioc J'!$J$6)</f>
        <v>-</v>
      </c>
      <c r="AB16" s="8"/>
      <c r="AC16" s="8"/>
    </row>
    <row r="17">
      <c r="A17" s="8"/>
      <c r="B17" s="84">
        <f>Atleti!B13</f>
        <v>3</v>
      </c>
      <c r="C17" s="85" t="str">
        <f>Atleti!C13</f>
        <v>L</v>
      </c>
      <c r="D17" s="86" t="str">
        <f>Atleti!D13</f>
        <v>Alessandra Amoroso</v>
      </c>
      <c r="E17" s="98"/>
      <c r="F17" s="98"/>
      <c r="G17" s="111" t="str">
        <f>IF('Gioc K'!$K$11=0,"-",'Gioc K'!$K$11)</f>
        <v>-</v>
      </c>
      <c r="H17" s="90">
        <f>if('Gioc K'!K17=0,"-",'Gioc K'!K17)</f>
        <v>-2</v>
      </c>
      <c r="I17" s="112"/>
      <c r="J17" s="111" t="str">
        <f>if('Gioc K'!$H$13=0,"-",'Gioc K'!$H$13)</f>
        <v>-</v>
      </c>
      <c r="K17" s="113" t="str">
        <f>if('Gioc K'!$G$13=0,"-",'Gioc K'!$G$13)</f>
        <v>-</v>
      </c>
      <c r="L17" s="114" t="str">
        <f>if('Gioc K'!$B$13=0,"-",'Gioc K'!$B$13)</f>
        <v>-</v>
      </c>
      <c r="M17" s="112"/>
      <c r="N17" s="111">
        <f>if('Gioc K'!$H$6=0,"-",'Gioc K'!$H$6)</f>
        <v>23</v>
      </c>
      <c r="O17" s="113">
        <f>if('Gioc K'!$G$6=0,"-",'Gioc K'!$G$6)</f>
        <v>2</v>
      </c>
      <c r="P17" s="115">
        <f>if('Gioc K'!$B$9=0,"-",'Gioc K'!$B$9)</f>
        <v>0.6956521739</v>
      </c>
      <c r="Q17" s="116">
        <f>If('Gioc K'!$B$6&gt;0,('Gioc K'!$B$6/'Gioc K'!$H$6),"-")</f>
        <v>0.1739130435</v>
      </c>
      <c r="R17" s="93">
        <f>If('Gioc K'!$B$8&gt;0,'Gioc K'!$B$8,"-")</f>
        <v>0.08695652174</v>
      </c>
      <c r="S17" s="112"/>
      <c r="T17" s="89" t="str">
        <f>if('Gioc K'!$H$20=0,"-",'Gioc K'!$H$20)</f>
        <v>-</v>
      </c>
      <c r="U17" s="117" t="str">
        <f>if('Gioc K'!$G$20=0,"-",'Gioc K'!$G$20)</f>
        <v>-</v>
      </c>
      <c r="V17" s="117" t="str">
        <f>if('Gioc K'!$F$20=0,"-",'Gioc K'!$F$20)</f>
        <v>-</v>
      </c>
      <c r="W17" s="113" t="str">
        <f>if('Gioc K'!$B$20=0,"-",'Gioc K'!$B$20)</f>
        <v>-</v>
      </c>
      <c r="X17" s="94" t="str">
        <f>if('Gioc K'!$B$20&gt;0,'Gioc K'!$B$20/'Gioc K'!$H$20,"-")</f>
        <v>-</v>
      </c>
      <c r="Y17" s="95" t="str">
        <f>if('Gioc K'!B$22&gt;0,'Gioc K'!B$22,"-")</f>
        <v>-</v>
      </c>
      <c r="Z17" s="112"/>
      <c r="AA17" s="118" t="str">
        <f>if('Gioc K'!$J$6=0,"-",'Gioc K'!$J$6)</f>
        <v>-</v>
      </c>
      <c r="AB17" s="8"/>
      <c r="AC17" s="8"/>
    </row>
    <row r="18">
      <c r="A18" s="8"/>
      <c r="B18" s="84">
        <f>Atleti!B14</f>
        <v>17</v>
      </c>
      <c r="C18" s="97" t="str">
        <f>Atleti!C14</f>
        <v/>
      </c>
      <c r="D18" s="86" t="str">
        <f>Atleti!D14</f>
        <v>Carmen Consoli</v>
      </c>
      <c r="E18" s="98"/>
      <c r="F18" s="98"/>
      <c r="G18" s="111">
        <f>IF('Gioc L'!$K$11=0,"-",'Gioc L'!$K$11)</f>
        <v>11</v>
      </c>
      <c r="H18" s="90">
        <f>if('Gioc L'!K17=0,"-",'Gioc L'!K17)</f>
        <v>9</v>
      </c>
      <c r="I18" s="112"/>
      <c r="J18" s="111">
        <f>if('Gioc L'!$H$13=0,"-",'Gioc L'!$H$13)</f>
        <v>6</v>
      </c>
      <c r="K18" s="113" t="str">
        <f>if('Gioc L'!$G$13=0,"-",'Gioc L'!$G$13)</f>
        <v>-</v>
      </c>
      <c r="L18" s="119" t="str">
        <f>if('Gioc L'!$B$13=0,"-",'Gioc L'!$B$13)</f>
        <v>-</v>
      </c>
      <c r="M18" s="112"/>
      <c r="N18" s="111">
        <f>if('Gioc L'!$H$6=0,"-",'Gioc L'!$H$6)</f>
        <v>4</v>
      </c>
      <c r="O18" s="113" t="str">
        <f>if('Gioc L'!$G$6=0,"-",'Gioc L'!$G$6)</f>
        <v>-</v>
      </c>
      <c r="P18" s="115">
        <f>if('Gioc L'!$B$9=0,"-",'Gioc L'!$B$9)</f>
        <v>0.5</v>
      </c>
      <c r="Q18" s="116">
        <f>If('Gioc L'!$B$6&gt;0,('Gioc L'!$B$6/'Gioc L'!$H$6),"-")</f>
        <v>0.25</v>
      </c>
      <c r="R18" s="93">
        <f>If('Gioc L'!$B$8&gt;0,'Gioc L'!$B$8,"-")</f>
        <v>0.25</v>
      </c>
      <c r="S18" s="112"/>
      <c r="T18" s="89">
        <f>if('Gioc L'!$H$20=0,"-",'Gioc L'!$H$20)</f>
        <v>19</v>
      </c>
      <c r="U18" s="113">
        <f>if('Gioc L'!$G$20=0,"-",'Gioc L'!$G$20)</f>
        <v>2</v>
      </c>
      <c r="V18" s="113" t="str">
        <f>if('Gioc L'!$F$20=0,"-",'Gioc L'!$F$20)</f>
        <v>-</v>
      </c>
      <c r="W18" s="113">
        <f>if('Gioc L'!$B$20=0,"-",'Gioc L'!$B$20)</f>
        <v>11</v>
      </c>
      <c r="X18" s="94">
        <f>if('Gioc L'!$B$20&gt;0,'Gioc L'!$B$20/'Gioc L'!$H$20,"-")</f>
        <v>0.5789473684</v>
      </c>
      <c r="Y18" s="95">
        <f>if('Gioc L'!B$22&gt;0,'Gioc L'!B$22,"-")</f>
        <v>0.4736842105</v>
      </c>
      <c r="Z18" s="112"/>
      <c r="AA18" s="118" t="str">
        <f>if('Gioc L'!$J$6=0,"-",'Gioc L'!$J$6)</f>
        <v>-</v>
      </c>
      <c r="AB18" s="8"/>
      <c r="AC18" s="8"/>
    </row>
    <row r="19">
      <c r="A19" s="8"/>
      <c r="B19" s="84">
        <f>Atleti!B15</f>
        <v>4</v>
      </c>
      <c r="C19" s="97" t="str">
        <f>Atleti!C15</f>
        <v/>
      </c>
      <c r="D19" s="86" t="str">
        <f>Atleti!D15</f>
        <v>Gaia Gozzi</v>
      </c>
      <c r="E19" s="112"/>
      <c r="F19" s="112"/>
      <c r="G19" s="99">
        <f>IF('Gioc M'!$K$11=0,"-",'Gioc M'!$K$11)</f>
        <v>6</v>
      </c>
      <c r="H19" s="90">
        <f>if('Gioc M'!K17=0,"-",'Gioc M'!K17)</f>
        <v>2</v>
      </c>
      <c r="I19" s="98"/>
      <c r="J19" s="99">
        <f>if('Gioc M'!$H$13=0,"-",'Gioc M'!$H$13)</f>
        <v>8</v>
      </c>
      <c r="K19" s="103">
        <f>if('Gioc M'!$G$13=0,"-",'Gioc M'!$G$13)</f>
        <v>1</v>
      </c>
      <c r="L19" s="106">
        <f>if('Gioc M'!$B$13=0,"-",'Gioc M'!$B$13)</f>
        <v>2</v>
      </c>
      <c r="M19" s="98"/>
      <c r="N19" s="99">
        <f>if('Gioc M'!$H$6=0,"-",'Gioc M'!$H$6)</f>
        <v>10</v>
      </c>
      <c r="O19" s="103">
        <f>if('Gioc M'!$G$6=0,"-",'Gioc M'!$G$6)</f>
        <v>3</v>
      </c>
      <c r="P19" s="107">
        <f>if('Gioc M'!$B$9=0,"-",'Gioc M'!$B$9)</f>
        <v>0.5</v>
      </c>
      <c r="Q19" s="102">
        <f>If('Gioc M'!$B$6&gt;0,('Gioc M'!$B$6/'Gioc M'!$H$6),"-")</f>
        <v>0.3</v>
      </c>
      <c r="R19" s="93" t="str">
        <f>If('Gioc M'!$B$8&gt;0,'Gioc M'!$B$8,"-")</f>
        <v>-</v>
      </c>
      <c r="S19" s="98"/>
      <c r="T19" s="89">
        <f>if('Gioc M'!$H$20=0,"-",'Gioc M'!$H$20)</f>
        <v>4</v>
      </c>
      <c r="U19" s="103" t="str">
        <f>if('Gioc M'!$G$20=0,"-",'Gioc M'!$G$20)</f>
        <v>-</v>
      </c>
      <c r="V19" s="97" t="str">
        <f>if('Gioc M'!$F$20=0,"-",'Gioc M'!$F$20)</f>
        <v>-</v>
      </c>
      <c r="W19" s="103">
        <f>if('Gioc M'!$B$20=0,"-",'Gioc M'!$B$20)</f>
        <v>3</v>
      </c>
      <c r="X19" s="94">
        <f>if('Gioc M'!$B$20&gt;0,'Gioc M'!$B$20/'Gioc M'!$H$20,"-")</f>
        <v>0.75</v>
      </c>
      <c r="Y19" s="95">
        <f>if('Gioc M'!B$22&gt;0,'Gioc M'!B$22,"-")</f>
        <v>0.75</v>
      </c>
      <c r="Z19" s="98"/>
      <c r="AA19" s="104">
        <f>if('Gioc M'!$J$6=0,"-",'Gioc M'!$J$6)</f>
        <v>1</v>
      </c>
      <c r="AB19" s="8"/>
      <c r="AC19" s="8"/>
    </row>
    <row r="20" ht="14.25" customHeight="1">
      <c r="A20" s="8"/>
      <c r="B20" s="84">
        <f>Atleti!B16</f>
        <v>6</v>
      </c>
      <c r="C20" s="97" t="str">
        <f>Atleti!C16</f>
        <v/>
      </c>
      <c r="D20" s="86" t="str">
        <f>Atleti!D16</f>
        <v>Francesca Calearo</v>
      </c>
      <c r="E20" s="112"/>
      <c r="F20" s="112"/>
      <c r="G20" s="111">
        <f>IF('Gioc N'!$K$11=0,"-",'Gioc N'!$K$11)</f>
        <v>3</v>
      </c>
      <c r="H20" s="90">
        <f>if('Gioc N'!K17=0,"-",'Gioc N'!K17)</f>
        <v>2</v>
      </c>
      <c r="I20" s="112"/>
      <c r="J20" s="111">
        <f>if('Gioc N'!$H$13=0,"-",'Gioc N'!$H$13)</f>
        <v>6</v>
      </c>
      <c r="K20" s="113">
        <f>if('Gioc N'!$G$13=0,"-",'Gioc N'!$G$13)</f>
        <v>1</v>
      </c>
      <c r="L20" s="114" t="str">
        <f>if('Gioc N'!$B$13=0,"-",'Gioc N'!$B$13)</f>
        <v>-</v>
      </c>
      <c r="M20" s="112"/>
      <c r="N20" s="111">
        <f>if('Gioc N'!$H$6=0,"-",'Gioc N'!$H$6)</f>
        <v>4</v>
      </c>
      <c r="O20" s="113" t="str">
        <f>if('Gioc N'!$G$6=0,"-",'Gioc N'!$G$6)</f>
        <v>-</v>
      </c>
      <c r="P20" s="115">
        <f>if('Gioc N'!$B$9=0,"-",'Gioc N'!$B$9)</f>
        <v>0.75</v>
      </c>
      <c r="Q20" s="116">
        <f>If('Gioc N'!$B$6&gt;0,('Gioc N'!$B$6/'Gioc N'!$H$6),"-")</f>
        <v>0.5</v>
      </c>
      <c r="R20" s="93">
        <f>If('Gioc N'!$B$8&gt;0,'Gioc N'!$B$8,"-")</f>
        <v>0.5</v>
      </c>
      <c r="S20" s="112"/>
      <c r="T20" s="120">
        <f>if('Gioc N'!$H$20=0,"-",'Gioc N'!$H$20)</f>
        <v>12</v>
      </c>
      <c r="U20" s="117" t="str">
        <f>if('Gioc N'!$G$20=0,"-",'Gioc N'!$G$20)</f>
        <v>-</v>
      </c>
      <c r="V20" s="117" t="str">
        <f>if('Gioc N'!$F$20=0,"-",'Gioc N'!$F$20)</f>
        <v>-</v>
      </c>
      <c r="W20" s="113">
        <f>if('Gioc N'!$B$20=0,"-",'Gioc N'!$B$20)</f>
        <v>3</v>
      </c>
      <c r="X20" s="94">
        <f>if('Gioc N'!$B$20&gt;0,'Gioc N'!$B$20/'Gioc N'!$H$20,"-")</f>
        <v>0.25</v>
      </c>
      <c r="Y20" s="95">
        <f>if('Gioc N'!B$22&gt;0,'Gioc N'!B$22,"-")</f>
        <v>0.25</v>
      </c>
      <c r="Z20" s="112"/>
      <c r="AA20" s="118" t="str">
        <f>if('Gioc N'!$J$6=0,"-",'Gioc N'!$J$6)</f>
        <v>-</v>
      </c>
      <c r="AB20" s="8"/>
      <c r="AC20" s="8"/>
    </row>
    <row r="21" ht="15.75" customHeight="1">
      <c r="A21" s="121"/>
      <c r="B21" s="122" t="s">
        <v>97</v>
      </c>
      <c r="C21" s="123"/>
      <c r="D21" s="124"/>
      <c r="E21" s="125"/>
      <c r="F21" s="126"/>
      <c r="G21" s="127">
        <f>SUM(G7:G19)</f>
        <v>53</v>
      </c>
      <c r="H21" s="128">
        <f>if(Squadra!K16=0,"-",Squadra!K16)</f>
        <v>31</v>
      </c>
      <c r="I21" s="129"/>
      <c r="J21" s="130">
        <f t="shared" ref="J21:L21" si="1">SUM(J7:J19)</f>
        <v>66</v>
      </c>
      <c r="K21" s="131">
        <f t="shared" si="1"/>
        <v>10</v>
      </c>
      <c r="L21" s="132">
        <f t="shared" si="1"/>
        <v>10</v>
      </c>
      <c r="M21" s="129"/>
      <c r="N21" s="133">
        <f t="shared" ref="N21:O21" si="2">SUM(N7:N19)</f>
        <v>49</v>
      </c>
      <c r="O21" s="134">
        <f t="shared" si="2"/>
        <v>5</v>
      </c>
      <c r="P21" s="135">
        <f>Squadra!B8</f>
        <v>0.6603773585</v>
      </c>
      <c r="Q21" s="136">
        <f>if(Squadra!B5&gt;0,Squadra!B5/Squadra!H5,"-")</f>
        <v>0.2830188679</v>
      </c>
      <c r="R21" s="137">
        <f>if(Squadra!B7&gt;0,Squadra!B7,"-")</f>
        <v>0.1886792453</v>
      </c>
      <c r="S21" s="129"/>
      <c r="T21" s="138">
        <f t="shared" ref="T21:U21" si="3">SUM(T7:T19)</f>
        <v>79</v>
      </c>
      <c r="U21" s="129">
        <f t="shared" si="3"/>
        <v>7</v>
      </c>
      <c r="V21" s="129">
        <f>if(SUM(V7:V19)=0,"-",SUM(V7:V19))</f>
        <v>2</v>
      </c>
      <c r="W21" s="139">
        <f>SUM(W7:W19)</f>
        <v>38</v>
      </c>
      <c r="X21" s="137">
        <f>if(Squadra!B19&gt;0,Squadra!B19/Squadra!H19,"-")</f>
        <v>0.4505494505</v>
      </c>
      <c r="Y21" s="137">
        <f>if(Squadra!B21&gt;0,Squadra!B21,"-")</f>
        <v>0.3736263736</v>
      </c>
      <c r="Z21" s="129"/>
      <c r="AA21" s="140">
        <f>if(SUM(AA7:AA19)=0," -",SUM(AA7:AA19))</f>
        <v>5</v>
      </c>
      <c r="AB21" s="8"/>
      <c r="AC21" s="8"/>
    </row>
    <row r="22" ht="15.75" customHeight="1">
      <c r="A22" s="141"/>
      <c r="B22" s="142"/>
      <c r="C22" s="26"/>
      <c r="D22" s="143" t="s">
        <v>98</v>
      </c>
      <c r="E22" s="144" t="s">
        <v>99</v>
      </c>
      <c r="F22" s="144" t="s">
        <v>100</v>
      </c>
      <c r="G22" s="144" t="s">
        <v>91</v>
      </c>
      <c r="H22" s="145" t="s">
        <v>101</v>
      </c>
      <c r="I22" s="26"/>
      <c r="J22" s="146"/>
      <c r="K22" s="147"/>
      <c r="L22" s="148"/>
      <c r="M22" s="26"/>
      <c r="N22" s="146"/>
      <c r="O22" s="147"/>
      <c r="P22" s="147"/>
      <c r="Q22" s="149"/>
      <c r="R22" s="150"/>
      <c r="S22" s="26"/>
      <c r="T22" s="146"/>
      <c r="U22" s="147"/>
      <c r="V22" s="147"/>
      <c r="W22" s="147"/>
      <c r="X22" s="149"/>
      <c r="Y22" s="150"/>
      <c r="Z22" s="26"/>
      <c r="AA22" s="151"/>
      <c r="AB22" s="8"/>
      <c r="AC22" s="8"/>
    </row>
    <row r="23" ht="15.75" customHeight="1">
      <c r="A23" s="141"/>
      <c r="B23" s="142"/>
      <c r="C23" s="26"/>
      <c r="D23" s="152" t="str">
        <f>if(I$2&gt;0,"Set 1","")</f>
        <v>Set 1</v>
      </c>
      <c r="E23" s="153">
        <f>if(Squadra!B34&gt;0,Squadra!B34,0)</f>
        <v>4</v>
      </c>
      <c r="F23" s="154">
        <f>Squadra!B41</f>
        <v>15</v>
      </c>
      <c r="G23" s="154">
        <f>Squadra!J27</f>
        <v>2</v>
      </c>
      <c r="H23" s="155">
        <f>ABS(E23+F23+G23-I2)</f>
        <v>4</v>
      </c>
      <c r="I23" s="156"/>
      <c r="J23" s="157">
        <f>Squadra!K32</f>
        <v>21</v>
      </c>
      <c r="K23" s="158">
        <f>Squadra!G34</f>
        <v>3</v>
      </c>
      <c r="L23" s="159">
        <f>Squadra!B34</f>
        <v>4</v>
      </c>
      <c r="M23" s="160"/>
      <c r="N23" s="161">
        <f>Squadra!H27</f>
        <v>12</v>
      </c>
      <c r="O23" s="158">
        <f>Squadra!G27</f>
        <v>1</v>
      </c>
      <c r="P23" s="162">
        <f>Squadra!B30</f>
        <v>0.75</v>
      </c>
      <c r="Q23" s="163">
        <f>if(Squadra!B27&gt;0,Squadra!B27/Squadra!H27,"-")</f>
        <v>0.4166666667</v>
      </c>
      <c r="R23" s="164"/>
      <c r="S23" s="160"/>
      <c r="T23" s="161">
        <f>Squadra!H41</f>
        <v>23</v>
      </c>
      <c r="U23" s="158">
        <f>Squadra!G41</f>
        <v>3</v>
      </c>
      <c r="V23" s="158">
        <f>Squadra!J27</f>
        <v>2</v>
      </c>
      <c r="W23" s="158">
        <f>Squadra!B41</f>
        <v>15</v>
      </c>
      <c r="X23" s="163">
        <f>if(Squadra!B41&gt;0,Squadra!B41/Squadra!H41,"-")</f>
        <v>0.652173913</v>
      </c>
      <c r="Y23" s="164"/>
      <c r="Z23" s="160"/>
      <c r="AA23" s="165">
        <f>if(Squadra!J27&gt;0,Squadra!J27,"-")</f>
        <v>2</v>
      </c>
      <c r="AB23" s="166"/>
      <c r="AC23" s="8"/>
    </row>
    <row r="24" ht="15.75" customHeight="1">
      <c r="A24" s="141"/>
      <c r="B24" s="142"/>
      <c r="C24" s="26"/>
      <c r="D24" s="167" t="str">
        <f>if(J$2&gt;0,"Set 2","")</f>
        <v>Set 2</v>
      </c>
      <c r="E24" s="168">
        <f>if(Squadra!B56&gt;0,Squadra!B56,0)</f>
        <v>4</v>
      </c>
      <c r="F24" s="169">
        <f>Squadra!B63</f>
        <v>11</v>
      </c>
      <c r="G24" s="169">
        <f>Squadra!J49</f>
        <v>3</v>
      </c>
      <c r="H24" s="170">
        <f>ABS(E24+F24+G24-J2)</f>
        <v>7</v>
      </c>
      <c r="I24" s="171"/>
      <c r="J24" s="172">
        <f>Squadra!K54</f>
        <v>18</v>
      </c>
      <c r="K24" s="173">
        <f>Squadra!G56</f>
        <v>2</v>
      </c>
      <c r="L24" s="174">
        <f>Squadra!B56</f>
        <v>4</v>
      </c>
      <c r="M24" s="175"/>
      <c r="N24" s="176">
        <f>Squadra!H49</f>
        <v>18</v>
      </c>
      <c r="O24" s="173">
        <f>Squadra!G49</f>
        <v>2</v>
      </c>
      <c r="P24" s="177">
        <f>Squadra!B52</f>
        <v>0.5</v>
      </c>
      <c r="Q24" s="178">
        <f>if(Squadra!B49&gt;0,(Squadra!B49/Squadra!H49),"-")</f>
        <v>0.1111111111</v>
      </c>
      <c r="R24" s="179"/>
      <c r="S24" s="175"/>
      <c r="T24" s="176">
        <f>Squadra!H63</f>
        <v>28</v>
      </c>
      <c r="U24" s="173">
        <f>Squadra!G63</f>
        <v>1</v>
      </c>
      <c r="V24" s="173">
        <f>Squadra!J49</f>
        <v>3</v>
      </c>
      <c r="W24" s="173">
        <f>Squadra!B63</f>
        <v>11</v>
      </c>
      <c r="X24" s="178">
        <f>if(Squadra!B63&gt;0,Squadra!B63/Squadra!H63,"-")</f>
        <v>0.3928571429</v>
      </c>
      <c r="Y24" s="179"/>
      <c r="Z24" s="175"/>
      <c r="AA24" s="180">
        <f>if(Squadra!J49&gt;0,Squadra!J49,"-")</f>
        <v>3</v>
      </c>
      <c r="AB24" s="166"/>
      <c r="AC24" s="8"/>
    </row>
    <row r="25" ht="15.75" customHeight="1">
      <c r="A25" s="141"/>
      <c r="B25" s="142"/>
      <c r="C25" s="26"/>
      <c r="D25" s="167" t="str">
        <f>if(K$2&gt;0,"Set 3","")</f>
        <v>Set 3</v>
      </c>
      <c r="E25" s="168">
        <f>if(Squadra!B79&gt;0,Squadra!B79,0)</f>
        <v>2</v>
      </c>
      <c r="F25" s="169">
        <f>Squadra!B86</f>
        <v>15</v>
      </c>
      <c r="G25" s="169">
        <f>Squadra!J72</f>
        <v>0</v>
      </c>
      <c r="H25" s="170">
        <f>ABS(E25+F25+G25-K2)</f>
        <v>8</v>
      </c>
      <c r="I25" s="171"/>
      <c r="J25" s="172">
        <f>Squadra!K77</f>
        <v>17</v>
      </c>
      <c r="K25" s="173">
        <f>Squadra!G79</f>
        <v>6</v>
      </c>
      <c r="L25" s="174">
        <f>Squadra!B79</f>
        <v>2</v>
      </c>
      <c r="M25" s="175"/>
      <c r="N25" s="176">
        <f>Squadra!H72</f>
        <v>23</v>
      </c>
      <c r="O25" s="173">
        <f>Squadra!G72</f>
        <v>2</v>
      </c>
      <c r="P25" s="177">
        <f>Squadra!B75</f>
        <v>0.7391304348</v>
      </c>
      <c r="Q25" s="178">
        <f>if(Squadra!B72&gt;0,Squadra!B72/Squadra!H72,"-")</f>
        <v>0.347826087</v>
      </c>
      <c r="R25" s="179"/>
      <c r="S25" s="175"/>
      <c r="T25" s="176">
        <f>Squadra!H86</f>
        <v>40</v>
      </c>
      <c r="U25" s="173">
        <f>Squadra!G86</f>
        <v>3</v>
      </c>
      <c r="V25" s="173">
        <f>Squadra!J72</f>
        <v>0</v>
      </c>
      <c r="W25" s="173">
        <f>Squadra!B86</f>
        <v>15</v>
      </c>
      <c r="X25" s="178">
        <f>if(Squadra!B86&gt;0,Squadra!B86/Squadra!H86,"-")</f>
        <v>0.375</v>
      </c>
      <c r="Y25" s="179"/>
      <c r="Z25" s="175"/>
      <c r="AA25" s="180" t="str">
        <f>if(Squadra!J72&gt;0,Squadra!J72,"-")</f>
        <v>-</v>
      </c>
      <c r="AB25" s="166"/>
      <c r="AC25" s="8"/>
    </row>
    <row r="26" ht="15.75" customHeight="1">
      <c r="A26" s="141"/>
      <c r="B26" s="142"/>
      <c r="C26" s="26"/>
      <c r="D26" s="181" t="str">
        <f>if(L$2&gt;0,"Set 4","")</f>
        <v/>
      </c>
      <c r="E26" s="182" t="str">
        <f>if(D26&lt;&gt;"",if(Squadra!B102&gt;0,Squadra!B102,0),"")</f>
        <v/>
      </c>
      <c r="F26" s="183" t="str">
        <f>if(D26&lt;&gt;"",if(Squadra!B109&gt;0,Squadra!B109,0),"")</f>
        <v/>
      </c>
      <c r="G26" s="183" t="str">
        <f>if(D26&lt;&gt;"",if(Squadra!J95&gt;0,Squadra!J95,0),"")</f>
        <v/>
      </c>
      <c r="H26" s="184" t="str">
        <f>IF(L2 &lt;&gt; "",ABS(E26+F26+G26-L2),"")</f>
        <v/>
      </c>
      <c r="I26" s="185"/>
      <c r="J26" s="186" t="str">
        <f>if(D26&lt;&gt;"",IF(Squadra!H102=0,"0",Squadra!H102),"")</f>
        <v/>
      </c>
      <c r="K26" s="183" t="str">
        <f>if(D26&lt;&gt;"",IF(Squadra!G102=0,"0",Squadra!G102),"")</f>
        <v/>
      </c>
      <c r="L26" s="187" t="str">
        <f>if(D26&lt;&gt;"",IF(Squadra!G102=0,"0",Squadra!G102),"")</f>
        <v/>
      </c>
      <c r="M26" s="188"/>
      <c r="N26" s="186" t="str">
        <f>if(D26&lt;&gt;"",IF(Squadra!H95&gt;0,Squadra!H95,"0"),"")</f>
        <v/>
      </c>
      <c r="O26" s="189" t="str">
        <f>if(D26&lt;&gt;"",if(Squadra!G95&gt;0,Squadra!G95,"0"),"")</f>
        <v/>
      </c>
      <c r="P26" s="189" t="str">
        <f>if(D26&lt;&gt;"",if(Squadra!B95&gt;0,Squadra!B98,"0"),"")</f>
        <v/>
      </c>
      <c r="Q26" s="190" t="str">
        <f>if(D26&lt;&gt;"",if(Squadra!B95&gt;0,Squadra!B95/Squadra!H95,"0"),"")</f>
        <v/>
      </c>
      <c r="R26" s="191"/>
      <c r="S26" s="188"/>
      <c r="T26" s="186" t="str">
        <f>if(D26&lt;&gt;"",if(Squadra!H109&gt;0,Squadra!H109,"-"),"")</f>
        <v/>
      </c>
      <c r="U26" s="189" t="str">
        <f>if(D26&lt;&gt;"",if(Squadra!G109&gt;0,Squadra!G109,"-"),"")</f>
        <v/>
      </c>
      <c r="V26" s="189" t="str">
        <f>if(D26&lt;&gt;"",if(Squadra!J95&gt;0,Squadra!J95,"0"),"")</f>
        <v/>
      </c>
      <c r="W26" s="189" t="str">
        <f>if(D26&lt;&gt;"",if(Squadra!B109&gt;0,Squadra!B109,"0"),"")</f>
        <v/>
      </c>
      <c r="X26" s="190" t="str">
        <f>if(D26&lt;&gt;"",if(Squadra!B109&gt;0,Squadra!B109/Squadra!H109,"0"),"")</f>
        <v/>
      </c>
      <c r="Y26" s="191"/>
      <c r="Z26" s="188"/>
      <c r="AA26" s="192" t="str">
        <f>if(D26&lt;&gt;"",if(Squadra!J95&gt;0,Squadra!J95,"0"),"")</f>
        <v/>
      </c>
      <c r="AB26" s="8"/>
      <c r="AC26" s="8"/>
    </row>
    <row r="27" ht="15.75" customHeight="1">
      <c r="A27" s="141"/>
      <c r="B27" s="193"/>
      <c r="C27" s="194"/>
      <c r="D27" s="195" t="str">
        <f>If(M2="","","Set 5")</f>
        <v/>
      </c>
      <c r="E27" s="196" t="str">
        <f>if(D27&lt;&gt;"",if(Squadra!B125&gt;0,Squadra!B125,0),"")</f>
        <v/>
      </c>
      <c r="F27" s="197" t="str">
        <f>if($D$27&lt;&gt;"",if(Squadra!B132&gt;0,Squadra!B132,0),"")</f>
        <v/>
      </c>
      <c r="G27" s="198" t="str">
        <f>if(D27&lt;&gt;"",if(Squadra!J118&gt;0,Squadra!J118,"0"),"")</f>
        <v/>
      </c>
      <c r="H27" s="199" t="str">
        <f>IF(M2&lt;&gt;"",E27+F27+G27-M2,"")</f>
        <v/>
      </c>
      <c r="I27" s="200"/>
      <c r="J27" s="201" t="str">
        <f>if(D27&lt;&gt;"",IF(Squadra!H125=0,"0",Squadra!H125),"")</f>
        <v/>
      </c>
      <c r="K27" s="202" t="str">
        <f>if(D27&lt;&gt;"",IF(Squadra!H125=0,"0",Squadra!G125),"")</f>
        <v/>
      </c>
      <c r="L27" s="203" t="str">
        <f>if(D27&lt;&gt;"",IF(Squadra!H125=0,"0",Squadra!B125),"")</f>
        <v/>
      </c>
      <c r="M27" s="204"/>
      <c r="N27" s="201" t="str">
        <f>if(D27&lt;&gt;"",if(Squadra!H118&gt;0,Squadra!H118,"0"),"")</f>
        <v/>
      </c>
      <c r="O27" s="205" t="str">
        <f>if(D27&lt;&gt;"",if(#REF!&gt;0,#REF!,"0"),"")</f>
        <v/>
      </c>
      <c r="P27" s="205" t="str">
        <f>if(D27&lt;&gt;"",if(Squadra!B119&gt;0,Squadra!B119,"0"),"")</f>
        <v/>
      </c>
      <c r="Q27" s="206" t="str">
        <f>if(D27&lt;&gt;"",if(Squadra!B118&gt;0,Squadra!B118/Squadra!H118,"0"),"")</f>
        <v/>
      </c>
      <c r="R27" s="207"/>
      <c r="S27" s="204"/>
      <c r="T27" s="201" t="str">
        <f>if(D27&lt;&gt;"",if(Squadra!H132&gt;0,Squadra!H132,"0"),"")</f>
        <v/>
      </c>
      <c r="U27" s="205" t="str">
        <f>if(D27&lt;&gt;"",if(Squadra!G132&gt;0,Squadra!G132,"0"),"")</f>
        <v/>
      </c>
      <c r="V27" s="205" t="str">
        <f>if(D27&lt;&gt;"",if(Squadra!J118&gt;0,Squadra!J118,"0"),"")</f>
        <v/>
      </c>
      <c r="W27" s="205" t="str">
        <f>if(D27&lt;&gt;"",if(Squadra!B132&gt;0,Squadra!B132,"0"),)</f>
        <v/>
      </c>
      <c r="X27" s="206" t="str">
        <f>if(D27&lt;&gt;"",if(Squadra!B132&gt;0,Squadra!B132/Squadra!H132,"0"),"")</f>
        <v/>
      </c>
      <c r="Y27" s="207"/>
      <c r="Z27" s="204"/>
      <c r="AA27" s="209" t="str">
        <f>if(D27&lt;&gt;"",if(Squadra!J118&gt;0,Squadra!J118,"0"),"")</f>
        <v/>
      </c>
      <c r="AB27" s="8"/>
      <c r="AC27" s="8"/>
    </row>
    <row r="28" ht="15.75" customHeight="1">
      <c r="A28" s="211"/>
      <c r="B28" s="212" t="s">
        <v>103</v>
      </c>
      <c r="D28" s="213"/>
      <c r="E28" s="215">
        <f>Squadra!L11-O21</f>
        <v>20</v>
      </c>
      <c r="F28" s="219" t="str">
        <f>IF(O21 &gt;0, "+ " &amp; O21 &amp; " ace subiti", "")</f>
        <v>+ 5 ace subiti</v>
      </c>
      <c r="G28" s="220"/>
      <c r="H28" s="42"/>
      <c r="J28" s="221" t="s">
        <v>104</v>
      </c>
      <c r="K28" s="42"/>
      <c r="L28" s="42"/>
      <c r="M28" s="222">
        <f>Squadra!K5</f>
        <v>1</v>
      </c>
      <c r="N28" s="8"/>
      <c r="O28" s="8"/>
      <c r="P28" s="8"/>
      <c r="Q28" s="8"/>
      <c r="R28" s="8"/>
      <c r="S28" s="8"/>
      <c r="T28" s="211" t="s">
        <v>105</v>
      </c>
      <c r="U28" s="8"/>
      <c r="W28" s="223" t="s">
        <v>106</v>
      </c>
      <c r="Y28" s="8"/>
      <c r="Z28" s="8"/>
      <c r="AA28" s="8"/>
      <c r="AB28" s="8"/>
      <c r="AC28" s="8"/>
    </row>
    <row r="29" ht="15.75" customHeight="1">
      <c r="B29" s="212" t="s">
        <v>107</v>
      </c>
      <c r="D29" s="213"/>
      <c r="E29" s="213">
        <f>H23+H24+H25+H26+H27</f>
        <v>19</v>
      </c>
      <c r="G29" s="8"/>
      <c r="H29" s="8"/>
      <c r="I29" s="8"/>
      <c r="J29" s="221" t="s">
        <v>108</v>
      </c>
      <c r="K29" s="8"/>
      <c r="L29" s="8"/>
      <c r="M29" s="222">
        <f>Squadra!K7</f>
        <v>1</v>
      </c>
      <c r="R29" s="222"/>
      <c r="S29" s="8"/>
      <c r="T29" s="211" t="s">
        <v>109</v>
      </c>
      <c r="U29" s="8"/>
      <c r="W29" s="226" t="s">
        <v>110</v>
      </c>
      <c r="Y29" s="8"/>
      <c r="Z29" s="8"/>
      <c r="AA29" s="8"/>
      <c r="AB29" s="8"/>
      <c r="AC29" s="8"/>
    </row>
    <row r="30" ht="15.75" customHeight="1">
      <c r="B30" s="227" t="s">
        <v>111</v>
      </c>
      <c r="J30" s="228"/>
      <c r="R30" s="222"/>
      <c r="S30" s="8"/>
      <c r="T30" s="211" t="s">
        <v>112</v>
      </c>
      <c r="U30" s="8"/>
      <c r="W30" s="230" t="s">
        <v>113</v>
      </c>
      <c r="Y30" s="8"/>
      <c r="Z30" s="8"/>
      <c r="AA30" s="8"/>
      <c r="AB30" s="8"/>
      <c r="AC30" s="8"/>
    </row>
    <row r="31" ht="15.75" customHeight="1"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Z31" s="8"/>
      <c r="AA31" s="8"/>
      <c r="AB31" s="8"/>
      <c r="AC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8"/>
      <c r="B33" s="8"/>
      <c r="C33" s="221"/>
      <c r="D33" s="22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231"/>
      <c r="B34" s="231"/>
    </row>
    <row r="35" ht="15.75" customHeight="1">
      <c r="A35" s="232"/>
      <c r="B35" s="23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5:D6"/>
    <mergeCell ref="E5:F5"/>
    <mergeCell ref="G5:H5"/>
    <mergeCell ref="J5:L5"/>
    <mergeCell ref="N5:R5"/>
    <mergeCell ref="T5:Y5"/>
    <mergeCell ref="B21:D21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6" width="15.13"/>
  </cols>
  <sheetData>
    <row r="1">
      <c r="A1" s="2" t="s">
        <v>0</v>
      </c>
      <c r="B1" s="4" t="s">
        <v>2</v>
      </c>
    </row>
    <row r="2">
      <c r="A2" s="6" t="s">
        <v>3</v>
      </c>
      <c r="B2" s="7">
        <v>45248.0</v>
      </c>
    </row>
    <row r="3">
      <c r="A3" s="6" t="s">
        <v>5</v>
      </c>
      <c r="B3" s="9" t="s">
        <v>6</v>
      </c>
    </row>
    <row r="4">
      <c r="A4" s="6" t="s">
        <v>4</v>
      </c>
      <c r="B4" s="11" t="s">
        <v>7</v>
      </c>
    </row>
    <row r="5">
      <c r="A5" s="6" t="s">
        <v>8</v>
      </c>
      <c r="B5" s="13" t="s">
        <v>9</v>
      </c>
    </row>
    <row r="6">
      <c r="A6" s="6" t="s">
        <v>10</v>
      </c>
      <c r="B6" s="15">
        <v>25.0</v>
      </c>
    </row>
    <row r="7">
      <c r="A7" s="6" t="s">
        <v>11</v>
      </c>
      <c r="B7" s="9">
        <v>16.0</v>
      </c>
    </row>
    <row r="8">
      <c r="A8" s="6" t="s">
        <v>12</v>
      </c>
      <c r="B8" s="15">
        <v>25.0</v>
      </c>
    </row>
    <row r="9">
      <c r="A9" s="6" t="s">
        <v>13</v>
      </c>
      <c r="B9" s="9">
        <v>18.0</v>
      </c>
    </row>
    <row r="10">
      <c r="A10" s="6" t="s">
        <v>16</v>
      </c>
      <c r="B10" s="15">
        <v>25.0</v>
      </c>
    </row>
    <row r="11">
      <c r="A11" s="6" t="s">
        <v>19</v>
      </c>
      <c r="B11" s="9">
        <v>22.0</v>
      </c>
    </row>
    <row r="12">
      <c r="A12" s="6" t="s">
        <v>20</v>
      </c>
      <c r="B12" s="19"/>
    </row>
    <row r="13">
      <c r="A13" s="6" t="s">
        <v>22</v>
      </c>
      <c r="B13" s="19"/>
    </row>
    <row r="14">
      <c r="A14" s="6" t="s">
        <v>23</v>
      </c>
      <c r="B14" s="19"/>
    </row>
    <row r="15">
      <c r="A15" s="6" t="s">
        <v>24</v>
      </c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 ht="15.75" customHeight="1">
      <c r="B21" s="19"/>
    </row>
    <row r="22" ht="15.75" customHeight="1">
      <c r="B22" s="19"/>
    </row>
    <row r="23" ht="15.75" customHeight="1">
      <c r="B23" s="19"/>
    </row>
    <row r="24" ht="15.75" customHeight="1">
      <c r="B24" s="19"/>
    </row>
    <row r="25" ht="15.75" customHeight="1">
      <c r="B25" s="19"/>
    </row>
    <row r="26" ht="15.75" customHeight="1">
      <c r="B26" s="19"/>
    </row>
    <row r="27" ht="15.75" customHeight="1">
      <c r="B27" s="19"/>
    </row>
    <row r="28" ht="15.75" customHeight="1">
      <c r="B28" s="19"/>
    </row>
    <row r="29" ht="15.75" customHeight="1">
      <c r="B29" s="19"/>
    </row>
    <row r="30" ht="15.75" customHeight="1">
      <c r="B30" s="19"/>
    </row>
    <row r="31" ht="15.75" customHeight="1">
      <c r="B31" s="19"/>
    </row>
    <row r="32" ht="15.75" customHeight="1">
      <c r="B32" s="19"/>
    </row>
    <row r="33" ht="15.75" customHeight="1">
      <c r="B33" s="19"/>
    </row>
    <row r="34" ht="15.75" customHeight="1">
      <c r="B34" s="19"/>
    </row>
    <row r="35" ht="15.75" customHeight="1">
      <c r="B35" s="19"/>
    </row>
    <row r="36" ht="15.75" customHeight="1">
      <c r="B36" s="19"/>
    </row>
    <row r="37" ht="15.75" customHeight="1">
      <c r="B37" s="19"/>
    </row>
    <row r="38" ht="15.75" customHeight="1">
      <c r="B38" s="19"/>
    </row>
    <row r="39" ht="15.75" customHeight="1">
      <c r="B39" s="19"/>
    </row>
    <row r="40" ht="15.75" customHeight="1">
      <c r="B40" s="19"/>
    </row>
    <row r="41" ht="15.75" customHeight="1">
      <c r="B41" s="19"/>
    </row>
    <row r="42" ht="15.75" customHeight="1">
      <c r="B42" s="19"/>
    </row>
    <row r="43" ht="15.75" customHeight="1">
      <c r="B43" s="19"/>
    </row>
    <row r="44" ht="15.75" customHeight="1">
      <c r="B44" s="19"/>
    </row>
    <row r="45" ht="15.75" customHeight="1">
      <c r="B45" s="19"/>
    </row>
    <row r="46" ht="15.75" customHeight="1">
      <c r="B46" s="19"/>
    </row>
    <row r="47" ht="15.75" customHeight="1">
      <c r="B47" s="19"/>
    </row>
    <row r="48" ht="15.75" customHeight="1">
      <c r="B48" s="19"/>
    </row>
    <row r="49" ht="15.75" customHeight="1">
      <c r="B49" s="19"/>
    </row>
    <row r="50" ht="15.75" customHeight="1">
      <c r="B50" s="19"/>
    </row>
    <row r="51" ht="15.75" customHeight="1">
      <c r="B51" s="19"/>
    </row>
    <row r="52" ht="15.75" customHeight="1">
      <c r="B52" s="19"/>
    </row>
    <row r="53" ht="15.75" customHeight="1">
      <c r="B53" s="19"/>
    </row>
    <row r="54" ht="15.75" customHeight="1">
      <c r="B54" s="19"/>
    </row>
    <row r="55" ht="15.75" customHeight="1">
      <c r="B55" s="19"/>
    </row>
    <row r="56" ht="15.75" customHeight="1">
      <c r="B56" s="19"/>
    </row>
    <row r="57" ht="15.75" customHeight="1">
      <c r="B57" s="19"/>
    </row>
    <row r="58" ht="15.75" customHeight="1">
      <c r="B58" s="19"/>
    </row>
    <row r="59" ht="15.75" customHeight="1">
      <c r="B59" s="19"/>
    </row>
    <row r="60" ht="15.75" customHeight="1">
      <c r="B60" s="19"/>
    </row>
    <row r="61" ht="15.75" customHeight="1">
      <c r="B61" s="19"/>
    </row>
    <row r="62" ht="15.75" customHeight="1">
      <c r="B62" s="19"/>
    </row>
    <row r="63" ht="15.75" customHeight="1">
      <c r="B63" s="19"/>
    </row>
    <row r="64" ht="15.75" customHeight="1">
      <c r="B64" s="19"/>
    </row>
    <row r="65" ht="15.75" customHeight="1">
      <c r="B65" s="19"/>
    </row>
    <row r="66" ht="15.75" customHeight="1">
      <c r="B66" s="19"/>
    </row>
    <row r="67" ht="15.75" customHeight="1">
      <c r="B67" s="19"/>
    </row>
    <row r="68" ht="15.75" customHeight="1">
      <c r="B68" s="19"/>
    </row>
    <row r="69" ht="15.75" customHeight="1">
      <c r="B69" s="19"/>
    </row>
    <row r="70" ht="15.75" customHeight="1">
      <c r="B70" s="19"/>
    </row>
    <row r="71" ht="15.75" customHeight="1">
      <c r="B71" s="19"/>
    </row>
    <row r="72" ht="15.75" customHeight="1">
      <c r="B72" s="19"/>
    </row>
    <row r="73" ht="15.75" customHeight="1">
      <c r="B73" s="19"/>
    </row>
    <row r="74" ht="15.75" customHeight="1">
      <c r="B74" s="19"/>
    </row>
    <row r="75" ht="15.75" customHeight="1">
      <c r="B75" s="19"/>
    </row>
    <row r="76" ht="15.75" customHeight="1">
      <c r="B76" s="19"/>
    </row>
    <row r="77" ht="15.75" customHeight="1">
      <c r="B77" s="19"/>
    </row>
    <row r="78" ht="15.75" customHeight="1">
      <c r="B78" s="19"/>
    </row>
    <row r="79" ht="15.75" customHeight="1">
      <c r="B79" s="19"/>
    </row>
    <row r="80" ht="15.75" customHeight="1">
      <c r="B80" s="19"/>
    </row>
    <row r="81" ht="15.75" customHeight="1">
      <c r="B81" s="19"/>
    </row>
    <row r="82" ht="15.75" customHeight="1">
      <c r="B82" s="19"/>
    </row>
    <row r="83" ht="15.75" customHeight="1">
      <c r="B83" s="19"/>
    </row>
    <row r="84" ht="15.75" customHeight="1">
      <c r="B84" s="19"/>
    </row>
    <row r="85" ht="15.75" customHeight="1">
      <c r="B85" s="19"/>
    </row>
    <row r="86" ht="15.75" customHeight="1">
      <c r="B86" s="19"/>
    </row>
    <row r="87" ht="15.75" customHeight="1">
      <c r="B87" s="19"/>
    </row>
    <row r="88" ht="15.75" customHeight="1">
      <c r="B88" s="19"/>
    </row>
    <row r="89" ht="15.75" customHeight="1">
      <c r="B89" s="19"/>
    </row>
    <row r="90" ht="15.75" customHeight="1">
      <c r="B90" s="19"/>
    </row>
    <row r="91" ht="15.75" customHeight="1">
      <c r="B91" s="19"/>
    </row>
    <row r="92" ht="15.75" customHeight="1">
      <c r="B92" s="19"/>
    </row>
    <row r="93" ht="15.75" customHeight="1">
      <c r="B93" s="19"/>
    </row>
    <row r="94" ht="15.75" customHeight="1">
      <c r="B94" s="19"/>
    </row>
    <row r="95" ht="15.75" customHeight="1">
      <c r="B95" s="19"/>
    </row>
    <row r="96" ht="15.75" customHeight="1">
      <c r="B96" s="19"/>
    </row>
    <row r="97" ht="15.75" customHeight="1">
      <c r="B97" s="19"/>
    </row>
    <row r="98" ht="15.75" customHeight="1">
      <c r="B98" s="19"/>
    </row>
    <row r="99" ht="15.75" customHeight="1">
      <c r="B99" s="19"/>
    </row>
    <row r="100" ht="15.75" customHeight="1">
      <c r="B100" s="19"/>
    </row>
    <row r="101" ht="15.75" customHeight="1">
      <c r="B101" s="19"/>
    </row>
    <row r="102" ht="15.75" customHeight="1">
      <c r="B102" s="19"/>
    </row>
    <row r="103" ht="15.75" customHeight="1">
      <c r="B103" s="19"/>
    </row>
    <row r="104" ht="15.75" customHeight="1">
      <c r="B104" s="19"/>
    </row>
    <row r="105" ht="15.75" customHeight="1">
      <c r="B105" s="19"/>
    </row>
    <row r="106" ht="15.75" customHeight="1">
      <c r="B106" s="19"/>
    </row>
    <row r="107" ht="15.75" customHeight="1">
      <c r="B107" s="19"/>
    </row>
    <row r="108" ht="15.75" customHeight="1">
      <c r="B108" s="19"/>
    </row>
    <row r="109" ht="15.75" customHeight="1">
      <c r="B109" s="19"/>
    </row>
    <row r="110" ht="15.75" customHeight="1">
      <c r="B110" s="19"/>
    </row>
    <row r="111" ht="15.75" customHeight="1">
      <c r="B111" s="19"/>
    </row>
    <row r="112" ht="15.75" customHeight="1">
      <c r="B112" s="19"/>
    </row>
    <row r="113" ht="15.75" customHeight="1">
      <c r="B113" s="19"/>
    </row>
    <row r="114" ht="15.75" customHeight="1">
      <c r="B114" s="19"/>
    </row>
    <row r="115" ht="15.75" customHeight="1">
      <c r="B115" s="19"/>
    </row>
    <row r="116" ht="15.75" customHeight="1">
      <c r="B116" s="19"/>
    </row>
    <row r="117" ht="15.75" customHeight="1">
      <c r="B117" s="19"/>
    </row>
    <row r="118" ht="15.75" customHeight="1">
      <c r="B118" s="19"/>
    </row>
    <row r="119" ht="15.75" customHeight="1">
      <c r="B119" s="19"/>
    </row>
    <row r="120" ht="15.75" customHeight="1">
      <c r="B120" s="19"/>
    </row>
    <row r="121" ht="15.75" customHeight="1">
      <c r="B121" s="19"/>
    </row>
    <row r="122" ht="15.75" customHeight="1">
      <c r="B122" s="19"/>
    </row>
    <row r="123" ht="15.75" customHeight="1">
      <c r="B123" s="19"/>
    </row>
    <row r="124" ht="15.75" customHeight="1">
      <c r="B124" s="19"/>
    </row>
    <row r="125" ht="15.75" customHeight="1">
      <c r="B125" s="19"/>
    </row>
    <row r="126" ht="15.75" customHeight="1">
      <c r="B126" s="19"/>
    </row>
    <row r="127" ht="15.75" customHeight="1">
      <c r="B127" s="19"/>
    </row>
    <row r="128" ht="15.75" customHeight="1">
      <c r="B128" s="19"/>
    </row>
    <row r="129" ht="15.75" customHeight="1">
      <c r="B129" s="19"/>
    </row>
    <row r="130" ht="15.75" customHeight="1">
      <c r="B130" s="19"/>
    </row>
    <row r="131" ht="15.75" customHeight="1">
      <c r="B131" s="19"/>
    </row>
    <row r="132" ht="15.75" customHeight="1">
      <c r="B132" s="19"/>
    </row>
    <row r="133" ht="15.75" customHeight="1">
      <c r="B133" s="19"/>
    </row>
    <row r="134" ht="15.75" customHeight="1">
      <c r="B134" s="19"/>
    </row>
    <row r="135" ht="15.75" customHeight="1">
      <c r="B135" s="19"/>
    </row>
    <row r="136" ht="15.75" customHeight="1">
      <c r="B136" s="19"/>
    </row>
    <row r="137" ht="15.75" customHeight="1">
      <c r="B137" s="19"/>
    </row>
    <row r="138" ht="15.75" customHeight="1">
      <c r="B138" s="19"/>
    </row>
    <row r="139" ht="15.75" customHeight="1">
      <c r="B139" s="19"/>
    </row>
    <row r="140" ht="15.75" customHeight="1">
      <c r="B140" s="19"/>
    </row>
    <row r="141" ht="15.75" customHeight="1">
      <c r="B141" s="19"/>
    </row>
    <row r="142" ht="15.75" customHeight="1">
      <c r="B142" s="19"/>
    </row>
    <row r="143" ht="15.75" customHeight="1">
      <c r="B143" s="19"/>
    </row>
    <row r="144" ht="15.75" customHeight="1">
      <c r="B144" s="19"/>
    </row>
    <row r="145" ht="15.75" customHeight="1">
      <c r="B145" s="19"/>
    </row>
    <row r="146" ht="15.75" customHeight="1">
      <c r="B146" s="19"/>
    </row>
    <row r="147" ht="15.75" customHeight="1">
      <c r="B147" s="19"/>
    </row>
    <row r="148" ht="15.75" customHeight="1">
      <c r="B148" s="19"/>
    </row>
    <row r="149" ht="15.75" customHeight="1">
      <c r="B149" s="19"/>
    </row>
    <row r="150" ht="15.75" customHeight="1">
      <c r="B150" s="19"/>
    </row>
    <row r="151" ht="15.75" customHeight="1">
      <c r="B151" s="19"/>
    </row>
    <row r="152" ht="15.75" customHeight="1">
      <c r="B152" s="19"/>
    </row>
    <row r="153" ht="15.75" customHeight="1">
      <c r="B153" s="19"/>
    </row>
    <row r="154" ht="15.75" customHeight="1">
      <c r="B154" s="19"/>
    </row>
    <row r="155" ht="15.75" customHeight="1">
      <c r="B155" s="19"/>
    </row>
    <row r="156" ht="15.75" customHeight="1">
      <c r="B156" s="19"/>
    </row>
    <row r="157" ht="15.75" customHeight="1">
      <c r="B157" s="19"/>
    </row>
    <row r="158" ht="15.75" customHeight="1">
      <c r="B158" s="19"/>
    </row>
    <row r="159" ht="15.75" customHeight="1">
      <c r="B159" s="19"/>
    </row>
    <row r="160" ht="15.75" customHeight="1">
      <c r="B160" s="19"/>
    </row>
    <row r="161" ht="15.75" customHeight="1">
      <c r="B161" s="19"/>
    </row>
    <row r="162" ht="15.75" customHeight="1">
      <c r="B162" s="19"/>
    </row>
    <row r="163" ht="15.75" customHeight="1">
      <c r="B163" s="19"/>
    </row>
    <row r="164" ht="15.75" customHeight="1">
      <c r="B164" s="19"/>
    </row>
    <row r="165" ht="15.75" customHeight="1">
      <c r="B165" s="19"/>
    </row>
    <row r="166" ht="15.75" customHeight="1">
      <c r="B166" s="19"/>
    </row>
    <row r="167" ht="15.75" customHeight="1">
      <c r="B167" s="19"/>
    </row>
    <row r="168" ht="15.75" customHeight="1">
      <c r="B168" s="19"/>
    </row>
    <row r="169" ht="15.75" customHeight="1">
      <c r="B169" s="19"/>
    </row>
    <row r="170" ht="15.75" customHeight="1">
      <c r="B170" s="19"/>
    </row>
    <row r="171" ht="15.75" customHeight="1">
      <c r="B171" s="19"/>
    </row>
    <row r="172" ht="15.75" customHeight="1">
      <c r="B172" s="19"/>
    </row>
    <row r="173" ht="15.75" customHeight="1">
      <c r="B173" s="19"/>
    </row>
    <row r="174" ht="15.75" customHeight="1">
      <c r="B174" s="19"/>
    </row>
    <row r="175" ht="15.75" customHeight="1">
      <c r="B175" s="19"/>
    </row>
    <row r="176" ht="15.75" customHeight="1">
      <c r="B176" s="19"/>
    </row>
    <row r="177" ht="15.75" customHeight="1">
      <c r="B177" s="19"/>
    </row>
    <row r="178" ht="15.75" customHeight="1">
      <c r="B178" s="19"/>
    </row>
    <row r="179" ht="15.75" customHeight="1">
      <c r="B179" s="19"/>
    </row>
    <row r="180" ht="15.75" customHeight="1">
      <c r="B180" s="19"/>
    </row>
    <row r="181" ht="15.75" customHeight="1">
      <c r="B181" s="19"/>
    </row>
    <row r="182" ht="15.75" customHeight="1">
      <c r="B182" s="19"/>
    </row>
    <row r="183" ht="15.75" customHeight="1">
      <c r="B183" s="19"/>
    </row>
    <row r="184" ht="15.75" customHeight="1">
      <c r="B184" s="19"/>
    </row>
    <row r="185" ht="15.75" customHeight="1">
      <c r="B185" s="19"/>
    </row>
    <row r="186" ht="15.75" customHeight="1">
      <c r="B186" s="19"/>
    </row>
    <row r="187" ht="15.75" customHeight="1">
      <c r="B187" s="19"/>
    </row>
    <row r="188" ht="15.75" customHeight="1">
      <c r="B188" s="19"/>
    </row>
    <row r="189" ht="15.75" customHeight="1">
      <c r="B189" s="19"/>
    </row>
    <row r="190" ht="15.75" customHeight="1">
      <c r="B190" s="19"/>
    </row>
    <row r="191" ht="15.75" customHeight="1">
      <c r="B191" s="19"/>
    </row>
    <row r="192" ht="15.75" customHeight="1">
      <c r="B192" s="19"/>
    </row>
    <row r="193" ht="15.75" customHeight="1">
      <c r="B193" s="19"/>
    </row>
    <row r="194" ht="15.75" customHeight="1">
      <c r="B194" s="19"/>
    </row>
    <row r="195" ht="15.75" customHeight="1">
      <c r="B195" s="19"/>
    </row>
    <row r="196" ht="15.75" customHeight="1">
      <c r="B196" s="19"/>
    </row>
    <row r="197" ht="15.75" customHeight="1">
      <c r="B197" s="19"/>
    </row>
    <row r="198" ht="15.75" customHeight="1">
      <c r="B198" s="19"/>
    </row>
    <row r="199" ht="15.75" customHeight="1">
      <c r="B199" s="19"/>
    </row>
    <row r="200" ht="15.75" customHeight="1">
      <c r="B200" s="19"/>
    </row>
    <row r="201" ht="15.75" customHeight="1">
      <c r="B201" s="19"/>
    </row>
    <row r="202" ht="15.75" customHeight="1">
      <c r="B202" s="19"/>
    </row>
    <row r="203" ht="15.75" customHeight="1">
      <c r="B203" s="19"/>
    </row>
    <row r="204" ht="15.75" customHeight="1">
      <c r="B204" s="19"/>
    </row>
    <row r="205" ht="15.75" customHeight="1">
      <c r="B205" s="19"/>
    </row>
    <row r="206" ht="15.75" customHeight="1">
      <c r="B206" s="19"/>
    </row>
    <row r="207" ht="15.75" customHeight="1">
      <c r="B207" s="19"/>
    </row>
    <row r="208" ht="15.75" customHeight="1">
      <c r="B208" s="19"/>
    </row>
    <row r="209" ht="15.75" customHeight="1">
      <c r="B209" s="19"/>
    </row>
    <row r="210" ht="15.75" customHeight="1">
      <c r="B210" s="19"/>
    </row>
    <row r="211" ht="15.75" customHeight="1">
      <c r="B211" s="19"/>
    </row>
    <row r="212" ht="15.75" customHeight="1">
      <c r="B212" s="19"/>
    </row>
    <row r="213" ht="15.75" customHeight="1">
      <c r="B213" s="19"/>
    </row>
    <row r="214" ht="15.75" customHeight="1">
      <c r="B214" s="19"/>
    </row>
    <row r="215" ht="15.75" customHeight="1">
      <c r="B215" s="19"/>
    </row>
    <row r="216" ht="15.75" customHeight="1">
      <c r="B216" s="19"/>
    </row>
    <row r="217" ht="15.75" customHeight="1">
      <c r="B217" s="19"/>
    </row>
    <row r="218" ht="15.75" customHeight="1">
      <c r="B218" s="19"/>
    </row>
    <row r="219" ht="15.75" customHeight="1">
      <c r="B219" s="19"/>
    </row>
    <row r="220" ht="15.75" customHeight="1">
      <c r="B220" s="1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3.0"/>
    <col customWidth="1" min="3" max="3" width="3.5"/>
    <col customWidth="1" min="4" max="4" width="3.75"/>
    <col customWidth="1" min="5" max="5" width="3.63"/>
    <col customWidth="1" min="6" max="6" width="3.38"/>
    <col customWidth="1" min="7" max="10" width="3.75"/>
    <col customWidth="1" min="11" max="11" width="3.5"/>
    <col customWidth="1" min="12" max="12" width="3.75"/>
    <col customWidth="1" min="13" max="14" width="3.5"/>
    <col customWidth="1" min="15" max="15" width="3.75"/>
    <col customWidth="1" min="16" max="16" width="3.38"/>
    <col customWidth="1" min="17" max="18" width="3.5"/>
    <col customWidth="1" min="19" max="19" width="3.63"/>
    <col customWidth="1" min="20" max="20" width="3.38"/>
    <col customWidth="1" min="21" max="21" width="3.25"/>
    <col customWidth="1" min="22" max="22" width="3.13"/>
    <col customWidth="1" min="23" max="23" width="3.25"/>
    <col customWidth="1" min="24" max="24" width="3.5"/>
    <col customWidth="1" min="25" max="25" width="3.63"/>
    <col customWidth="1" min="26" max="26" width="3.25"/>
    <col customWidth="1" min="27" max="27" width="3.38"/>
    <col customWidth="1" min="28" max="28" width="3.88"/>
    <col customWidth="1" min="29" max="29" width="3.63"/>
    <col customWidth="1" min="30" max="30" width="3.5"/>
    <col customWidth="1" min="31" max="31" width="4.13"/>
    <col customWidth="1" min="32" max="32" width="3.5"/>
    <col customWidth="1" min="33" max="33" width="3.38"/>
    <col customWidth="1" min="34" max="34" width="4.25"/>
    <col customWidth="1" min="35" max="37" width="4.5"/>
  </cols>
  <sheetData>
    <row r="1" ht="12.75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8"/>
      <c r="AH1" s="18"/>
      <c r="AI1" s="18"/>
      <c r="AJ1" s="18"/>
      <c r="AK1" s="18"/>
    </row>
    <row r="2" ht="12.75" customHeight="1">
      <c r="A2" s="22"/>
      <c r="B2" s="24">
        <v>19.0</v>
      </c>
      <c r="C2" s="27" t="s">
        <v>26</v>
      </c>
      <c r="D2" s="27" t="s">
        <v>26</v>
      </c>
      <c r="E2" s="27" t="s">
        <v>26</v>
      </c>
      <c r="F2" s="27" t="s">
        <v>28</v>
      </c>
      <c r="G2" s="27" t="s">
        <v>26</v>
      </c>
      <c r="H2" s="27" t="s">
        <v>29</v>
      </c>
      <c r="I2" s="28" t="s">
        <v>31</v>
      </c>
      <c r="J2" s="28" t="s">
        <v>31</v>
      </c>
      <c r="K2" s="28" t="s">
        <v>32</v>
      </c>
      <c r="L2" s="28" t="s">
        <v>28</v>
      </c>
      <c r="M2" s="29"/>
      <c r="N2" s="29"/>
      <c r="O2" s="29"/>
      <c r="P2" s="29"/>
      <c r="Q2" s="29"/>
      <c r="R2" s="29"/>
      <c r="S2" s="29"/>
      <c r="T2" s="29"/>
      <c r="U2" s="30"/>
      <c r="V2" s="30"/>
      <c r="W2" s="30"/>
      <c r="X2" s="30"/>
      <c r="Y2" s="30"/>
      <c r="Z2" s="30"/>
      <c r="AA2" s="31"/>
      <c r="AB2" s="31"/>
      <c r="AC2" s="31"/>
      <c r="AD2" s="31"/>
      <c r="AE2" s="31"/>
      <c r="AF2" s="31"/>
      <c r="AG2" s="32"/>
      <c r="AH2" s="21"/>
      <c r="AI2" s="18"/>
      <c r="AJ2" s="18"/>
      <c r="AK2" s="18"/>
    </row>
    <row r="3" ht="12.75" customHeight="1">
      <c r="A3" s="22"/>
      <c r="B3" s="33">
        <v>5.0</v>
      </c>
      <c r="C3" s="34" t="s">
        <v>44</v>
      </c>
      <c r="D3" s="34" t="s">
        <v>45</v>
      </c>
      <c r="E3" s="34" t="s">
        <v>46</v>
      </c>
      <c r="F3" s="34" t="s">
        <v>45</v>
      </c>
      <c r="G3" s="34" t="s">
        <v>47</v>
      </c>
      <c r="H3" s="34" t="s">
        <v>26</v>
      </c>
      <c r="I3" s="34" t="s">
        <v>48</v>
      </c>
      <c r="J3" s="34" t="s">
        <v>26</v>
      </c>
      <c r="K3" s="34" t="s">
        <v>46</v>
      </c>
      <c r="L3" s="35"/>
      <c r="M3" s="35"/>
      <c r="N3" s="35"/>
      <c r="O3" s="35"/>
      <c r="P3" s="35"/>
      <c r="Q3" s="35"/>
      <c r="R3" s="35"/>
      <c r="S3" s="35"/>
      <c r="T3" s="35"/>
      <c r="U3" s="30"/>
      <c r="V3" s="30"/>
      <c r="W3" s="30"/>
      <c r="X3" s="30"/>
      <c r="Y3" s="30"/>
      <c r="Z3" s="30"/>
      <c r="AA3" s="31"/>
      <c r="AB3" s="31"/>
      <c r="AC3" s="31"/>
      <c r="AD3" s="31"/>
      <c r="AE3" s="31"/>
      <c r="AF3" s="31"/>
      <c r="AG3" s="32"/>
      <c r="AH3" s="21"/>
      <c r="AI3" s="18"/>
      <c r="AJ3" s="18"/>
      <c r="AK3" s="18"/>
    </row>
    <row r="4" ht="12.75" customHeight="1">
      <c r="A4" s="22"/>
      <c r="B4" s="33">
        <v>17.0</v>
      </c>
      <c r="C4" s="39" t="s">
        <v>51</v>
      </c>
      <c r="D4" s="34" t="s">
        <v>28</v>
      </c>
      <c r="E4" s="34" t="s">
        <v>54</v>
      </c>
      <c r="F4" s="39" t="s">
        <v>51</v>
      </c>
      <c r="G4" s="34" t="s">
        <v>31</v>
      </c>
      <c r="H4" s="34" t="s">
        <v>28</v>
      </c>
      <c r="I4" s="34" t="s">
        <v>26</v>
      </c>
      <c r="J4" s="40" t="s">
        <v>26</v>
      </c>
      <c r="K4" s="41" t="s">
        <v>57</v>
      </c>
      <c r="L4" s="40"/>
      <c r="M4" s="34"/>
      <c r="N4" s="34"/>
      <c r="O4" s="34"/>
      <c r="P4" s="34"/>
      <c r="Q4" s="34"/>
      <c r="R4" s="34"/>
      <c r="S4" s="34"/>
      <c r="T4" s="34"/>
      <c r="U4" s="30"/>
      <c r="V4" s="30"/>
      <c r="W4" s="30"/>
      <c r="X4" s="30"/>
      <c r="Y4" s="30"/>
      <c r="Z4" s="30"/>
      <c r="AA4" s="31"/>
      <c r="AB4" s="31"/>
      <c r="AC4" s="31"/>
      <c r="AD4" s="31"/>
      <c r="AE4" s="31"/>
      <c r="AF4" s="31"/>
      <c r="AG4" s="32"/>
      <c r="AH4" s="21"/>
      <c r="AI4" s="18"/>
      <c r="AJ4" s="18"/>
      <c r="AK4" s="18"/>
    </row>
    <row r="5" ht="12.75" customHeight="1">
      <c r="A5" s="22"/>
      <c r="B5" s="33">
        <v>1.0</v>
      </c>
      <c r="C5" s="34" t="s">
        <v>28</v>
      </c>
      <c r="D5" s="34" t="s">
        <v>60</v>
      </c>
      <c r="E5" s="34" t="s">
        <v>26</v>
      </c>
      <c r="F5" s="34" t="s">
        <v>51</v>
      </c>
      <c r="G5" s="34" t="s">
        <v>28</v>
      </c>
      <c r="H5" s="34" t="s">
        <v>28</v>
      </c>
      <c r="I5" s="44" t="s">
        <v>61</v>
      </c>
      <c r="J5" s="46"/>
      <c r="K5" s="46"/>
      <c r="L5" s="46"/>
      <c r="M5" s="35"/>
      <c r="N5" s="35"/>
      <c r="O5" s="35"/>
      <c r="P5" s="35"/>
      <c r="Q5" s="35"/>
      <c r="R5" s="35"/>
      <c r="S5" s="35"/>
      <c r="T5" s="35"/>
      <c r="U5" s="30"/>
      <c r="V5" s="30"/>
      <c r="W5" s="30"/>
      <c r="X5" s="30"/>
      <c r="Y5" s="30"/>
      <c r="Z5" s="30"/>
      <c r="AA5" s="31"/>
      <c r="AB5" s="31"/>
      <c r="AC5" s="31"/>
      <c r="AD5" s="31"/>
      <c r="AE5" s="31"/>
      <c r="AF5" s="31"/>
      <c r="AG5" s="32"/>
      <c r="AH5" s="21"/>
      <c r="AI5" s="18"/>
      <c r="AJ5" s="18"/>
      <c r="AK5" s="18"/>
    </row>
    <row r="6" ht="12.75" customHeight="1">
      <c r="A6" s="22"/>
      <c r="B6" s="33">
        <v>12.0</v>
      </c>
      <c r="C6" s="34" t="s">
        <v>28</v>
      </c>
      <c r="D6" s="39" t="s">
        <v>51</v>
      </c>
      <c r="E6" s="34" t="s">
        <v>54</v>
      </c>
      <c r="F6" s="34" t="s">
        <v>28</v>
      </c>
      <c r="G6" s="34" t="s">
        <v>26</v>
      </c>
      <c r="H6" s="34" t="s">
        <v>26</v>
      </c>
      <c r="I6" s="47" t="s">
        <v>29</v>
      </c>
      <c r="J6" s="48" t="s">
        <v>28</v>
      </c>
      <c r="K6" s="48" t="s">
        <v>28</v>
      </c>
      <c r="L6" s="49" t="s">
        <v>28</v>
      </c>
      <c r="M6" s="34"/>
      <c r="N6" s="35"/>
      <c r="O6" s="35"/>
      <c r="P6" s="35"/>
      <c r="Q6" s="35"/>
      <c r="R6" s="35"/>
      <c r="S6" s="35"/>
      <c r="T6" s="35"/>
      <c r="U6" s="30"/>
      <c r="V6" s="30"/>
      <c r="W6" s="30"/>
      <c r="X6" s="30"/>
      <c r="Y6" s="30"/>
      <c r="Z6" s="30"/>
      <c r="AA6" s="31"/>
      <c r="AB6" s="31"/>
      <c r="AC6" s="31"/>
      <c r="AD6" s="31"/>
      <c r="AE6" s="31"/>
      <c r="AF6" s="31"/>
      <c r="AG6" s="32"/>
      <c r="AH6" s="21"/>
      <c r="AI6" s="18"/>
      <c r="AJ6" s="18"/>
      <c r="AK6" s="18"/>
    </row>
    <row r="7" ht="12.75" customHeight="1">
      <c r="A7" s="22"/>
      <c r="B7" s="33">
        <v>10.0</v>
      </c>
      <c r="C7" s="34" t="s">
        <v>68</v>
      </c>
      <c r="D7" s="34" t="s">
        <v>28</v>
      </c>
      <c r="E7" s="39" t="s">
        <v>54</v>
      </c>
      <c r="F7" s="34" t="s">
        <v>48</v>
      </c>
      <c r="G7" s="34" t="s">
        <v>48</v>
      </c>
      <c r="H7" s="39" t="s">
        <v>26</v>
      </c>
      <c r="I7" s="34" t="s">
        <v>69</v>
      </c>
      <c r="J7" s="34" t="s">
        <v>44</v>
      </c>
      <c r="K7" s="34" t="s">
        <v>31</v>
      </c>
      <c r="L7" s="35"/>
      <c r="M7" s="39"/>
      <c r="N7" s="35"/>
      <c r="O7" s="35"/>
      <c r="P7" s="35"/>
      <c r="Q7" s="35"/>
      <c r="R7" s="35"/>
      <c r="S7" s="35"/>
      <c r="T7" s="35"/>
      <c r="U7" s="30"/>
      <c r="V7" s="30"/>
      <c r="W7" s="30"/>
      <c r="X7" s="30"/>
      <c r="Y7" s="30"/>
      <c r="Z7" s="30"/>
      <c r="AA7" s="31"/>
      <c r="AB7" s="31"/>
      <c r="AC7" s="31"/>
      <c r="AD7" s="31"/>
      <c r="AE7" s="31"/>
      <c r="AF7" s="31"/>
      <c r="AG7" s="32"/>
      <c r="AH7" s="21"/>
      <c r="AI7" s="18"/>
      <c r="AJ7" s="18"/>
      <c r="AK7" s="18"/>
    </row>
    <row r="8" ht="12.75" customHeight="1">
      <c r="A8" s="22"/>
      <c r="B8" s="33">
        <v>3.0</v>
      </c>
      <c r="C8" s="34" t="s">
        <v>68</v>
      </c>
      <c r="D8" s="34" t="s">
        <v>31</v>
      </c>
      <c r="E8" s="50" t="s">
        <v>32</v>
      </c>
      <c r="F8" s="50" t="s">
        <v>32</v>
      </c>
      <c r="G8" s="50" t="s">
        <v>70</v>
      </c>
      <c r="H8" s="50" t="s">
        <v>71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0"/>
      <c r="V8" s="30"/>
      <c r="W8" s="30"/>
      <c r="X8" s="30"/>
      <c r="Y8" s="30"/>
      <c r="Z8" s="30"/>
      <c r="AA8" s="31"/>
      <c r="AB8" s="31"/>
      <c r="AC8" s="31"/>
      <c r="AD8" s="31"/>
      <c r="AE8" s="31"/>
      <c r="AF8" s="31"/>
      <c r="AG8" s="32"/>
      <c r="AH8" s="21"/>
      <c r="AI8" s="18"/>
      <c r="AJ8" s="18"/>
      <c r="AK8" s="18"/>
    </row>
    <row r="9" ht="12.75" customHeight="1">
      <c r="A9" s="22"/>
      <c r="B9" s="33">
        <v>4.0</v>
      </c>
      <c r="C9" s="34" t="s">
        <v>46</v>
      </c>
      <c r="D9" s="34" t="s">
        <v>48</v>
      </c>
      <c r="E9" s="34" t="s">
        <v>29</v>
      </c>
      <c r="F9" s="50" t="s">
        <v>57</v>
      </c>
      <c r="G9" s="50" t="s">
        <v>28</v>
      </c>
      <c r="H9" s="50" t="s">
        <v>28</v>
      </c>
      <c r="I9" s="50" t="s">
        <v>47</v>
      </c>
      <c r="J9" s="35"/>
      <c r="K9" s="35"/>
      <c r="L9" s="35"/>
      <c r="M9" s="35"/>
      <c r="N9" s="35"/>
      <c r="O9" s="52"/>
      <c r="P9" s="35"/>
      <c r="Q9" s="35"/>
      <c r="R9" s="35"/>
      <c r="S9" s="35"/>
      <c r="T9" s="35"/>
      <c r="U9" s="30"/>
      <c r="V9" s="30"/>
      <c r="W9" s="30"/>
      <c r="X9" s="30"/>
      <c r="Y9" s="30"/>
      <c r="Z9" s="30"/>
      <c r="AA9" s="31"/>
      <c r="AB9" s="31"/>
      <c r="AC9" s="31"/>
      <c r="AD9" s="31"/>
      <c r="AE9" s="31"/>
      <c r="AF9" s="31"/>
      <c r="AG9" s="32"/>
      <c r="AH9" s="21"/>
      <c r="AI9" s="18"/>
      <c r="AJ9" s="18"/>
      <c r="AK9" s="18"/>
    </row>
    <row r="10" ht="12.75" customHeight="1">
      <c r="A10" s="22"/>
      <c r="B10" s="53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54"/>
      <c r="O10" s="55"/>
      <c r="P10" s="56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1"/>
      <c r="AB10" s="31"/>
      <c r="AC10" s="31"/>
      <c r="AD10" s="31"/>
      <c r="AE10" s="31"/>
      <c r="AF10" s="31"/>
      <c r="AG10" s="32"/>
      <c r="AH10" s="21"/>
      <c r="AI10" s="18"/>
      <c r="AJ10" s="18"/>
      <c r="AK10" s="18"/>
    </row>
    <row r="11" ht="12.75" customHeight="1">
      <c r="A11" s="22"/>
      <c r="B11" s="53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57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  <c r="AB11" s="31"/>
      <c r="AC11" s="31"/>
      <c r="AD11" s="31"/>
      <c r="AE11" s="31"/>
      <c r="AF11" s="31"/>
      <c r="AG11" s="32"/>
      <c r="AH11" s="21"/>
      <c r="AI11" s="18"/>
      <c r="AJ11" s="18"/>
      <c r="AK11" s="18"/>
    </row>
    <row r="12" ht="12.75" customHeight="1">
      <c r="A12" s="22"/>
      <c r="B12" s="53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1"/>
      <c r="AB12" s="31"/>
      <c r="AC12" s="31"/>
      <c r="AD12" s="31"/>
      <c r="AE12" s="31"/>
      <c r="AF12" s="31"/>
      <c r="AG12" s="32"/>
      <c r="AH12" s="21"/>
      <c r="AI12" s="18"/>
      <c r="AJ12" s="18"/>
      <c r="AK12" s="18"/>
    </row>
    <row r="13" ht="12.75" customHeight="1">
      <c r="A13" s="22"/>
      <c r="B13" s="58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1"/>
      <c r="AB13" s="31"/>
      <c r="AC13" s="31"/>
      <c r="AD13" s="31"/>
      <c r="AE13" s="31"/>
      <c r="AF13" s="31"/>
      <c r="AG13" s="32"/>
      <c r="AH13" s="45"/>
      <c r="AI13" s="18"/>
      <c r="AJ13" s="18"/>
      <c r="AK13" s="18"/>
    </row>
    <row r="14" ht="12.75" customHeight="1">
      <c r="A14" s="18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18"/>
      <c r="AH14" s="21"/>
      <c r="AI14" s="18"/>
      <c r="AJ14" s="18"/>
      <c r="AK14" s="18"/>
    </row>
    <row r="15" ht="12.75" customHeight="1">
      <c r="A15" s="3" t="s">
        <v>72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8"/>
      <c r="AH15" s="21"/>
      <c r="AI15" s="18"/>
      <c r="AJ15" s="18"/>
      <c r="AK15" s="18"/>
    </row>
    <row r="16" ht="12.75" customHeight="1">
      <c r="A16" s="22"/>
      <c r="B16" s="24">
        <v>19.0</v>
      </c>
      <c r="C16" s="27" t="s">
        <v>73</v>
      </c>
      <c r="D16" s="27" t="s">
        <v>74</v>
      </c>
      <c r="E16" s="27" t="s">
        <v>51</v>
      </c>
      <c r="F16" s="27" t="s">
        <v>44</v>
      </c>
      <c r="G16" s="27" t="s">
        <v>28</v>
      </c>
      <c r="H16" s="27" t="s">
        <v>68</v>
      </c>
      <c r="I16" s="27" t="s">
        <v>46</v>
      </c>
      <c r="J16" s="27" t="s">
        <v>75</v>
      </c>
      <c r="K16" s="27" t="s">
        <v>46</v>
      </c>
      <c r="L16" s="27" t="s">
        <v>51</v>
      </c>
      <c r="M16" s="62" t="s">
        <v>31</v>
      </c>
      <c r="N16" s="62" t="s">
        <v>31</v>
      </c>
      <c r="O16" s="29"/>
      <c r="P16" s="29"/>
      <c r="Q16" s="29"/>
      <c r="R16" s="29"/>
      <c r="S16" s="29"/>
      <c r="T16" s="30"/>
      <c r="U16" s="30"/>
      <c r="V16" s="30"/>
      <c r="W16" s="63"/>
      <c r="X16" s="30"/>
      <c r="Y16" s="30"/>
      <c r="Z16" s="30"/>
      <c r="AA16" s="31"/>
      <c r="AB16" s="31"/>
      <c r="AC16" s="31"/>
      <c r="AD16" s="31"/>
      <c r="AE16" s="31"/>
      <c r="AF16" s="31"/>
      <c r="AG16" s="32"/>
      <c r="AH16" s="21"/>
      <c r="AI16" s="18"/>
      <c r="AJ16" s="18"/>
      <c r="AK16" s="18"/>
    </row>
    <row r="17" ht="12.75" customHeight="1">
      <c r="A17" s="22"/>
      <c r="B17" s="33">
        <v>9.0</v>
      </c>
      <c r="C17" s="34" t="s">
        <v>26</v>
      </c>
      <c r="D17" s="34" t="s">
        <v>29</v>
      </c>
      <c r="E17" s="34" t="s">
        <v>45</v>
      </c>
      <c r="F17" s="34" t="s">
        <v>47</v>
      </c>
      <c r="G17" s="34" t="s">
        <v>51</v>
      </c>
      <c r="H17" s="34" t="s">
        <v>26</v>
      </c>
      <c r="I17" s="34" t="s">
        <v>48</v>
      </c>
      <c r="J17" s="34" t="s">
        <v>48</v>
      </c>
      <c r="K17" s="34" t="s">
        <v>48</v>
      </c>
      <c r="L17" s="34" t="s">
        <v>29</v>
      </c>
      <c r="M17" s="35"/>
      <c r="N17" s="35"/>
      <c r="O17" s="35"/>
      <c r="P17" s="35"/>
      <c r="Q17" s="35"/>
      <c r="R17" s="35"/>
      <c r="S17" s="35"/>
      <c r="T17" s="30"/>
      <c r="U17" s="30"/>
      <c r="V17" s="30"/>
      <c r="W17" s="63"/>
      <c r="X17" s="30"/>
      <c r="Y17" s="30"/>
      <c r="Z17" s="30"/>
      <c r="AA17" s="31"/>
      <c r="AB17" s="31"/>
      <c r="AC17" s="31"/>
      <c r="AD17" s="31"/>
      <c r="AE17" s="31"/>
      <c r="AF17" s="31"/>
      <c r="AG17" s="32"/>
      <c r="AH17" s="21"/>
      <c r="AI17" s="18"/>
      <c r="AJ17" s="18"/>
      <c r="AK17" s="18"/>
    </row>
    <row r="18" ht="12.75" customHeight="1">
      <c r="A18" s="22"/>
      <c r="B18" s="33">
        <v>5.0</v>
      </c>
      <c r="C18" s="34" t="s">
        <v>51</v>
      </c>
      <c r="D18" s="34" t="s">
        <v>26</v>
      </c>
      <c r="E18" s="34" t="s">
        <v>26</v>
      </c>
      <c r="F18" s="34" t="s">
        <v>48</v>
      </c>
      <c r="G18" s="34" t="s">
        <v>46</v>
      </c>
      <c r="H18" s="34" t="s">
        <v>44</v>
      </c>
      <c r="I18" s="34" t="s">
        <v>45</v>
      </c>
      <c r="J18" s="34" t="s">
        <v>45</v>
      </c>
      <c r="K18" s="34" t="s">
        <v>47</v>
      </c>
      <c r="L18" s="34" t="s">
        <v>26</v>
      </c>
      <c r="M18" s="34" t="s">
        <v>26</v>
      </c>
      <c r="N18" s="34" t="s">
        <v>26</v>
      </c>
      <c r="O18" s="35"/>
      <c r="P18" s="35"/>
      <c r="Q18" s="35"/>
      <c r="R18" s="35"/>
      <c r="S18" s="35"/>
      <c r="T18" s="30"/>
      <c r="U18" s="30"/>
      <c r="V18" s="30"/>
      <c r="W18" s="63"/>
      <c r="X18" s="30"/>
      <c r="Y18" s="30"/>
      <c r="Z18" s="30"/>
      <c r="AA18" s="31"/>
      <c r="AB18" s="31"/>
      <c r="AC18" s="31"/>
      <c r="AD18" s="31"/>
      <c r="AE18" s="31"/>
      <c r="AF18" s="31"/>
      <c r="AG18" s="32"/>
      <c r="AH18" s="21"/>
      <c r="AI18" s="18"/>
      <c r="AJ18" s="18"/>
      <c r="AK18" s="18"/>
    </row>
    <row r="19" ht="12.75" customHeight="1">
      <c r="A19" s="22"/>
      <c r="B19" s="33">
        <v>17.0</v>
      </c>
      <c r="C19" s="34" t="s">
        <v>68</v>
      </c>
      <c r="D19" s="34" t="s">
        <v>28</v>
      </c>
      <c r="E19" s="34" t="s">
        <v>28</v>
      </c>
      <c r="F19" s="34" t="s">
        <v>28</v>
      </c>
      <c r="G19" s="34" t="s">
        <v>51</v>
      </c>
      <c r="H19" s="34" t="s">
        <v>68</v>
      </c>
      <c r="I19" s="34" t="s">
        <v>26</v>
      </c>
      <c r="J19" s="34" t="s">
        <v>26</v>
      </c>
      <c r="K19" s="34" t="s">
        <v>75</v>
      </c>
      <c r="L19" s="34" t="s">
        <v>51</v>
      </c>
      <c r="M19" s="34" t="s">
        <v>28</v>
      </c>
      <c r="N19" s="34" t="s">
        <v>51</v>
      </c>
      <c r="O19" s="34" t="s">
        <v>70</v>
      </c>
      <c r="P19" s="34" t="s">
        <v>28</v>
      </c>
      <c r="Q19" s="34" t="s">
        <v>28</v>
      </c>
      <c r="R19" s="35"/>
      <c r="S19" s="35"/>
      <c r="T19" s="30"/>
      <c r="U19" s="30"/>
      <c r="V19" s="30"/>
      <c r="W19" s="63"/>
      <c r="X19" s="30"/>
      <c r="Y19" s="30"/>
      <c r="Z19" s="30"/>
      <c r="AA19" s="31"/>
      <c r="AB19" s="31"/>
      <c r="AC19" s="31"/>
      <c r="AD19" s="31"/>
      <c r="AE19" s="31"/>
      <c r="AF19" s="31"/>
      <c r="AG19" s="32"/>
      <c r="AH19" s="21"/>
      <c r="AI19" s="18"/>
      <c r="AJ19" s="18"/>
      <c r="AK19" s="18"/>
    </row>
    <row r="20" ht="12.75" customHeight="1">
      <c r="A20" s="22"/>
      <c r="B20" s="33">
        <v>1.0</v>
      </c>
      <c r="C20" s="34" t="s">
        <v>45</v>
      </c>
      <c r="D20" s="34" t="s">
        <v>44</v>
      </c>
      <c r="E20" s="34" t="s">
        <v>69</v>
      </c>
      <c r="F20" s="34" t="s">
        <v>28</v>
      </c>
      <c r="G20" s="34" t="s">
        <v>47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0"/>
      <c r="U20" s="30"/>
      <c r="V20" s="30"/>
      <c r="W20" s="65"/>
      <c r="X20" s="30"/>
      <c r="Y20" s="30"/>
      <c r="Z20" s="30"/>
      <c r="AA20" s="31"/>
      <c r="AB20" s="31"/>
      <c r="AC20" s="31"/>
      <c r="AD20" s="31"/>
      <c r="AE20" s="31"/>
      <c r="AF20" s="31"/>
      <c r="AG20" s="32"/>
      <c r="AH20" s="21"/>
      <c r="AI20" s="18"/>
      <c r="AJ20" s="18"/>
      <c r="AK20" s="18"/>
    </row>
    <row r="21" ht="12.75" customHeight="1">
      <c r="A21" s="22"/>
      <c r="B21" s="66">
        <v>22.0</v>
      </c>
      <c r="C21" s="34" t="s">
        <v>51</v>
      </c>
      <c r="D21" s="34" t="s">
        <v>45</v>
      </c>
      <c r="E21" s="34" t="s">
        <v>76</v>
      </c>
      <c r="F21" s="34" t="s">
        <v>60</v>
      </c>
      <c r="G21" s="34" t="s">
        <v>51</v>
      </c>
      <c r="H21" s="34" t="s">
        <v>51</v>
      </c>
      <c r="I21" s="34" t="s">
        <v>51</v>
      </c>
      <c r="J21" s="34" t="s">
        <v>51</v>
      </c>
      <c r="K21" s="67" t="s">
        <v>45</v>
      </c>
      <c r="L21" s="34" t="s">
        <v>28</v>
      </c>
      <c r="M21" s="34" t="s">
        <v>77</v>
      </c>
      <c r="N21" s="34" t="s">
        <v>46</v>
      </c>
      <c r="O21" s="34" t="s">
        <v>26</v>
      </c>
      <c r="P21" s="34" t="s">
        <v>28</v>
      </c>
      <c r="Q21" s="34" t="s">
        <v>54</v>
      </c>
      <c r="R21" s="34" t="s">
        <v>69</v>
      </c>
      <c r="S21" s="34" t="s">
        <v>28</v>
      </c>
      <c r="T21" s="30"/>
      <c r="U21" s="30"/>
      <c r="V21" s="30"/>
      <c r="W21" s="63"/>
      <c r="X21" s="30"/>
      <c r="Y21" s="30"/>
      <c r="Z21" s="30"/>
      <c r="AA21" s="31"/>
      <c r="AB21" s="31"/>
      <c r="AC21" s="31"/>
      <c r="AD21" s="31"/>
      <c r="AE21" s="31"/>
      <c r="AF21" s="31"/>
      <c r="AG21" s="32"/>
      <c r="AH21" s="21"/>
      <c r="AI21" s="18"/>
      <c r="AJ21" s="18"/>
      <c r="AK21" s="18"/>
    </row>
    <row r="22" ht="12.75" customHeight="1">
      <c r="A22" s="22"/>
      <c r="B22" s="33">
        <v>3.0</v>
      </c>
      <c r="C22" s="34" t="s">
        <v>68</v>
      </c>
      <c r="D22" s="34" t="s">
        <v>68</v>
      </c>
      <c r="E22" s="34" t="s">
        <v>70</v>
      </c>
      <c r="F22" s="34" t="s">
        <v>70</v>
      </c>
      <c r="G22" s="34" t="s">
        <v>71</v>
      </c>
      <c r="H22" s="34" t="s">
        <v>70</v>
      </c>
      <c r="I22" s="50" t="s">
        <v>32</v>
      </c>
      <c r="J22" s="50" t="s">
        <v>32</v>
      </c>
      <c r="K22" s="50" t="s">
        <v>70</v>
      </c>
      <c r="L22" s="35"/>
      <c r="M22" s="35"/>
      <c r="N22" s="35"/>
      <c r="O22" s="39"/>
      <c r="P22" s="39"/>
      <c r="Q22" s="39"/>
      <c r="R22" s="39"/>
      <c r="S22" s="39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2"/>
      <c r="AH22" s="21"/>
      <c r="AI22" s="18"/>
      <c r="AJ22" s="18"/>
      <c r="AK22" s="18"/>
    </row>
    <row r="23" ht="12.75" customHeight="1">
      <c r="A23" s="22"/>
      <c r="B23" s="33">
        <v>4.0</v>
      </c>
      <c r="C23" s="34" t="s">
        <v>75</v>
      </c>
      <c r="D23" s="34" t="s">
        <v>68</v>
      </c>
      <c r="E23" s="50" t="s">
        <v>71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0"/>
      <c r="U23" s="30"/>
      <c r="V23" s="30"/>
      <c r="W23" s="30"/>
      <c r="X23" s="30"/>
      <c r="Y23" s="30"/>
      <c r="Z23" s="30"/>
      <c r="AA23" s="31"/>
      <c r="AB23" s="31"/>
      <c r="AC23" s="31"/>
      <c r="AD23" s="31"/>
      <c r="AE23" s="31"/>
      <c r="AF23" s="31"/>
      <c r="AG23" s="32"/>
      <c r="AH23" s="21"/>
      <c r="AI23" s="18"/>
      <c r="AJ23" s="18"/>
      <c r="AK23" s="18"/>
    </row>
    <row r="24" ht="12.75" customHeight="1">
      <c r="A24" s="22"/>
      <c r="B24" s="63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B24" s="31"/>
      <c r="AC24" s="31"/>
      <c r="AD24" s="31"/>
      <c r="AE24" s="31"/>
      <c r="AF24" s="31"/>
      <c r="AG24" s="32"/>
      <c r="AH24" s="21"/>
      <c r="AI24" s="18"/>
      <c r="AJ24" s="18"/>
      <c r="AK24" s="18"/>
    </row>
    <row r="25" ht="12.75" customHeight="1">
      <c r="A25" s="22"/>
      <c r="B25" s="63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  <c r="AB25" s="31"/>
      <c r="AC25" s="31"/>
      <c r="AD25" s="31"/>
      <c r="AE25" s="31"/>
      <c r="AF25" s="31"/>
      <c r="AG25" s="32"/>
      <c r="AH25" s="21"/>
      <c r="AI25" s="18"/>
      <c r="AJ25" s="18"/>
      <c r="AK25" s="18"/>
    </row>
    <row r="26" ht="12.75" customHeight="1">
      <c r="A26" s="22"/>
      <c r="B26" s="53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  <c r="AB26" s="31"/>
      <c r="AC26" s="31"/>
      <c r="AD26" s="31"/>
      <c r="AE26" s="31"/>
      <c r="AF26" s="31"/>
      <c r="AG26" s="32"/>
      <c r="AH26" s="21"/>
      <c r="AI26" s="18"/>
      <c r="AJ26" s="18"/>
      <c r="AK26" s="18"/>
    </row>
    <row r="27" ht="12.75" customHeight="1">
      <c r="A27" s="22"/>
      <c r="B27" s="53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B27" s="31"/>
      <c r="AC27" s="31"/>
      <c r="AD27" s="31"/>
      <c r="AE27" s="31"/>
      <c r="AF27" s="31"/>
      <c r="AG27" s="32"/>
      <c r="AH27" s="45"/>
      <c r="AI27" s="18"/>
      <c r="AJ27" s="18"/>
      <c r="AK27" s="18"/>
    </row>
    <row r="28" ht="12.75" customHeight="1">
      <c r="A28" s="18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18"/>
      <c r="AH28" s="21"/>
      <c r="AI28" s="18"/>
      <c r="AJ28" s="18"/>
      <c r="AK28" s="18"/>
    </row>
    <row r="29" ht="12.75" customHeight="1">
      <c r="A29" s="3" t="s">
        <v>83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8"/>
      <c r="AH29" s="21"/>
      <c r="AI29" s="18"/>
      <c r="AJ29" s="18"/>
      <c r="AK29" s="18"/>
    </row>
    <row r="30" ht="12.75" customHeight="1">
      <c r="A30" s="78"/>
      <c r="B30" s="24">
        <v>19.0</v>
      </c>
      <c r="C30" s="27" t="s">
        <v>48</v>
      </c>
      <c r="D30" s="27" t="s">
        <v>29</v>
      </c>
      <c r="E30" s="27" t="s">
        <v>51</v>
      </c>
      <c r="F30" s="27" t="s">
        <v>28</v>
      </c>
      <c r="G30" s="27" t="s">
        <v>26</v>
      </c>
      <c r="H30" s="27" t="s">
        <v>26</v>
      </c>
      <c r="I30" s="27" t="s">
        <v>45</v>
      </c>
      <c r="J30" s="27" t="s">
        <v>51</v>
      </c>
      <c r="K30" s="27" t="s">
        <v>51</v>
      </c>
      <c r="L30" s="27" t="s">
        <v>44</v>
      </c>
      <c r="M30" s="27" t="s">
        <v>26</v>
      </c>
      <c r="N30" s="27" t="s">
        <v>28</v>
      </c>
      <c r="O30" s="28" t="s">
        <v>70</v>
      </c>
      <c r="P30" s="28" t="s">
        <v>32</v>
      </c>
      <c r="Q30" s="28" t="s">
        <v>32</v>
      </c>
      <c r="R30" s="29"/>
      <c r="S30" s="29"/>
      <c r="T30" s="29"/>
      <c r="U30" s="29"/>
      <c r="V30" s="29"/>
      <c r="W30" s="29"/>
      <c r="X30" s="29"/>
      <c r="Y30" s="30"/>
      <c r="Z30" s="30"/>
      <c r="AA30" s="31"/>
      <c r="AB30" s="31"/>
      <c r="AC30" s="31"/>
      <c r="AD30" s="31"/>
      <c r="AE30" s="31"/>
      <c r="AF30" s="31"/>
      <c r="AG30" s="32"/>
      <c r="AH30" s="21"/>
      <c r="AI30" s="18"/>
      <c r="AJ30" s="18"/>
      <c r="AK30" s="18"/>
    </row>
    <row r="31" ht="12.75" customHeight="1">
      <c r="A31" s="22"/>
      <c r="B31" s="33">
        <v>5.0</v>
      </c>
      <c r="C31" s="34" t="s">
        <v>44</v>
      </c>
      <c r="D31" s="34" t="s">
        <v>29</v>
      </c>
      <c r="E31" s="34" t="s">
        <v>60</v>
      </c>
      <c r="F31" s="34" t="s">
        <v>44</v>
      </c>
      <c r="G31" s="34" t="s">
        <v>29</v>
      </c>
      <c r="H31" s="34" t="s">
        <v>60</v>
      </c>
      <c r="I31" s="34" t="s">
        <v>45</v>
      </c>
      <c r="J31" s="34" t="s">
        <v>46</v>
      </c>
      <c r="K31" s="50" t="s">
        <v>28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0"/>
      <c r="Z31" s="30"/>
      <c r="AA31" s="31"/>
      <c r="AB31" s="31"/>
      <c r="AC31" s="31"/>
      <c r="AD31" s="31"/>
      <c r="AE31" s="31"/>
      <c r="AF31" s="31"/>
      <c r="AG31" s="32"/>
      <c r="AH31" s="21"/>
      <c r="AI31" s="18"/>
      <c r="AJ31" s="18"/>
      <c r="AK31" s="18"/>
    </row>
    <row r="32" ht="12.75" customHeight="1">
      <c r="A32" s="22"/>
      <c r="B32" s="33">
        <v>6.0</v>
      </c>
      <c r="C32" s="34" t="s">
        <v>51</v>
      </c>
      <c r="D32" s="34" t="s">
        <v>31</v>
      </c>
      <c r="E32" s="34" t="s">
        <v>51</v>
      </c>
      <c r="F32" s="34" t="s">
        <v>26</v>
      </c>
      <c r="G32" s="34" t="s">
        <v>46</v>
      </c>
      <c r="H32" s="34" t="s">
        <v>28</v>
      </c>
      <c r="I32" s="34" t="s">
        <v>28</v>
      </c>
      <c r="J32" s="34" t="s">
        <v>28</v>
      </c>
      <c r="K32" s="34" t="s">
        <v>69</v>
      </c>
      <c r="L32" s="34" t="s">
        <v>51</v>
      </c>
      <c r="M32" s="34" t="s">
        <v>51</v>
      </c>
      <c r="N32" s="34" t="s">
        <v>69</v>
      </c>
      <c r="O32" s="34" t="s">
        <v>29</v>
      </c>
      <c r="P32" s="34" t="s">
        <v>68</v>
      </c>
      <c r="Q32" s="34" t="s">
        <v>70</v>
      </c>
      <c r="R32" s="34" t="s">
        <v>51</v>
      </c>
      <c r="S32" s="34" t="s">
        <v>51</v>
      </c>
      <c r="T32" s="34" t="s">
        <v>51</v>
      </c>
      <c r="U32" s="34" t="s">
        <v>26</v>
      </c>
      <c r="V32" s="34" t="s">
        <v>26</v>
      </c>
      <c r="W32" s="34" t="s">
        <v>26</v>
      </c>
      <c r="X32" s="34" t="s">
        <v>31</v>
      </c>
      <c r="Y32" s="30"/>
      <c r="Z32" s="30"/>
      <c r="AA32" s="31"/>
      <c r="AB32" s="31"/>
      <c r="AC32" s="31"/>
      <c r="AD32" s="31"/>
      <c r="AE32" s="31"/>
      <c r="AF32" s="31"/>
      <c r="AG32" s="32"/>
      <c r="AH32" s="21"/>
      <c r="AI32" s="18"/>
      <c r="AJ32" s="18"/>
      <c r="AK32" s="18"/>
    </row>
    <row r="33" ht="12.75" customHeight="1">
      <c r="A33" s="22"/>
      <c r="B33" s="33">
        <v>9.0</v>
      </c>
      <c r="C33" s="34" t="s">
        <v>51</v>
      </c>
      <c r="D33" s="34" t="s">
        <v>28</v>
      </c>
      <c r="E33" s="34" t="s">
        <v>26</v>
      </c>
      <c r="F33" s="34" t="s">
        <v>26</v>
      </c>
      <c r="G33" s="34" t="s">
        <v>29</v>
      </c>
      <c r="H33" s="34" t="s">
        <v>26</v>
      </c>
      <c r="I33" s="34" t="s">
        <v>26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0"/>
      <c r="Z33" s="30"/>
      <c r="AA33" s="31"/>
      <c r="AB33" s="31"/>
      <c r="AC33" s="31"/>
      <c r="AD33" s="31"/>
      <c r="AE33" s="31"/>
      <c r="AF33" s="31"/>
      <c r="AG33" s="32"/>
      <c r="AH33" s="21"/>
      <c r="AI33" s="18"/>
      <c r="AJ33" s="18"/>
      <c r="AK33" s="18"/>
    </row>
    <row r="34" ht="12.75" customHeight="1">
      <c r="A34" s="22"/>
      <c r="B34" s="66">
        <v>22.0</v>
      </c>
      <c r="C34" s="34" t="s">
        <v>28</v>
      </c>
      <c r="D34" s="34" t="s">
        <v>28</v>
      </c>
      <c r="E34" s="34" t="s">
        <v>28</v>
      </c>
      <c r="F34" s="34" t="s">
        <v>29</v>
      </c>
      <c r="G34" s="34" t="s">
        <v>76</v>
      </c>
      <c r="H34" s="34" t="s">
        <v>74</v>
      </c>
      <c r="I34" s="34" t="s">
        <v>28</v>
      </c>
      <c r="J34" s="34" t="s">
        <v>54</v>
      </c>
      <c r="K34" s="34" t="s">
        <v>51</v>
      </c>
      <c r="L34" s="34" t="s">
        <v>26</v>
      </c>
      <c r="M34" s="34" t="s">
        <v>51</v>
      </c>
      <c r="N34" s="34" t="s">
        <v>26</v>
      </c>
      <c r="O34" s="34" t="s">
        <v>51</v>
      </c>
      <c r="P34" s="50"/>
      <c r="Q34" s="35"/>
      <c r="R34" s="35"/>
      <c r="S34" s="35"/>
      <c r="T34" s="35"/>
      <c r="U34" s="35"/>
      <c r="V34" s="35"/>
      <c r="W34" s="35"/>
      <c r="X34" s="35"/>
      <c r="Y34" s="30"/>
      <c r="Z34" s="30"/>
      <c r="AA34" s="31"/>
      <c r="AB34" s="31"/>
      <c r="AC34" s="31"/>
      <c r="AD34" s="31"/>
      <c r="AE34" s="31"/>
      <c r="AF34" s="31"/>
      <c r="AG34" s="32"/>
      <c r="AH34" s="21"/>
      <c r="AI34" s="18"/>
      <c r="AJ34" s="18"/>
      <c r="AK34" s="18"/>
    </row>
    <row r="35" ht="12.75" customHeight="1">
      <c r="A35" s="22"/>
      <c r="B35" s="33">
        <v>4.0</v>
      </c>
      <c r="C35" s="34" t="s">
        <v>68</v>
      </c>
      <c r="D35" s="34" t="s">
        <v>31</v>
      </c>
      <c r="E35" s="34" t="s">
        <v>71</v>
      </c>
      <c r="F35" s="34" t="s">
        <v>31</v>
      </c>
      <c r="G35" s="34" t="s">
        <v>31</v>
      </c>
      <c r="H35" s="34" t="s">
        <v>26</v>
      </c>
      <c r="I35" s="34" t="s">
        <v>28</v>
      </c>
      <c r="J35" s="34" t="s">
        <v>70</v>
      </c>
      <c r="K35" s="34" t="s">
        <v>51</v>
      </c>
      <c r="L35" s="34" t="s">
        <v>48</v>
      </c>
      <c r="M35" s="34" t="s">
        <v>26</v>
      </c>
      <c r="N35" s="34" t="s">
        <v>70</v>
      </c>
      <c r="O35" s="50" t="s">
        <v>71</v>
      </c>
      <c r="P35" s="35"/>
      <c r="Q35" s="35"/>
      <c r="R35" s="35"/>
      <c r="S35" s="35"/>
      <c r="T35" s="35"/>
      <c r="U35" s="35"/>
      <c r="V35" s="35"/>
      <c r="W35" s="35"/>
      <c r="X35" s="35"/>
      <c r="Y35" s="30"/>
      <c r="Z35" s="30"/>
      <c r="AA35" s="31"/>
      <c r="AB35" s="31"/>
      <c r="AC35" s="31"/>
      <c r="AD35" s="31"/>
      <c r="AE35" s="31"/>
      <c r="AF35" s="31"/>
      <c r="AG35" s="32"/>
      <c r="AH35" s="21"/>
      <c r="AI35" s="18"/>
      <c r="AJ35" s="18"/>
      <c r="AK35" s="18"/>
    </row>
    <row r="36" ht="12.75" customHeight="1">
      <c r="A36" s="22"/>
      <c r="B36" s="33">
        <v>3.0</v>
      </c>
      <c r="C36" s="34" t="s">
        <v>31</v>
      </c>
      <c r="D36" s="34" t="s">
        <v>68</v>
      </c>
      <c r="E36" s="34" t="s">
        <v>70</v>
      </c>
      <c r="F36" s="34" t="s">
        <v>70</v>
      </c>
      <c r="G36" s="34" t="s">
        <v>31</v>
      </c>
      <c r="H36" s="34" t="s">
        <v>31</v>
      </c>
      <c r="I36" s="34" t="s">
        <v>70</v>
      </c>
      <c r="J36" s="50" t="s">
        <v>73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0"/>
      <c r="Z36" s="30"/>
      <c r="AA36" s="31"/>
      <c r="AB36" s="31"/>
      <c r="AC36" s="31"/>
      <c r="AD36" s="31"/>
      <c r="AE36" s="31"/>
      <c r="AF36" s="31"/>
      <c r="AG36" s="32"/>
      <c r="AH36" s="21"/>
      <c r="AI36" s="18"/>
      <c r="AJ36" s="18"/>
      <c r="AK36" s="18"/>
    </row>
    <row r="37" ht="12.75" customHeight="1">
      <c r="A37" s="22"/>
      <c r="B37" s="87">
        <v>12.0</v>
      </c>
      <c r="C37" s="34" t="s">
        <v>51</v>
      </c>
      <c r="D37" s="34" t="s">
        <v>45</v>
      </c>
      <c r="E37" s="34" t="s">
        <v>51</v>
      </c>
      <c r="F37" s="34" t="s">
        <v>45</v>
      </c>
      <c r="G37" s="34" t="s">
        <v>54</v>
      </c>
      <c r="H37" s="50" t="s">
        <v>93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0"/>
      <c r="Z37" s="30"/>
      <c r="AA37" s="31"/>
      <c r="AB37" s="31"/>
      <c r="AC37" s="31"/>
      <c r="AD37" s="31"/>
      <c r="AE37" s="31"/>
      <c r="AF37" s="31"/>
      <c r="AG37" s="32"/>
      <c r="AH37" s="21"/>
      <c r="AI37" s="18"/>
      <c r="AJ37" s="18"/>
      <c r="AK37" s="18"/>
    </row>
    <row r="38" ht="12.75" customHeight="1">
      <c r="A38" s="22"/>
      <c r="B38" s="87">
        <v>17.0</v>
      </c>
      <c r="C38" s="34" t="s">
        <v>28</v>
      </c>
      <c r="D38" s="34" t="s">
        <v>28</v>
      </c>
      <c r="E38" s="34" t="s">
        <v>51</v>
      </c>
      <c r="F38" s="34" t="s">
        <v>54</v>
      </c>
      <c r="G38" s="34" t="s">
        <v>28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0"/>
      <c r="Z38" s="30"/>
      <c r="AA38" s="31"/>
      <c r="AB38" s="31"/>
      <c r="AC38" s="31"/>
      <c r="AD38" s="31"/>
      <c r="AE38" s="31"/>
      <c r="AF38" s="31"/>
      <c r="AG38" s="32"/>
      <c r="AH38" s="21"/>
      <c r="AI38" s="18"/>
      <c r="AJ38" s="18"/>
      <c r="AK38" s="18"/>
    </row>
    <row r="39" ht="12.75" customHeight="1">
      <c r="A39" s="22"/>
      <c r="B39" s="53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1"/>
      <c r="AB39" s="31"/>
      <c r="AC39" s="31"/>
      <c r="AD39" s="31"/>
      <c r="AE39" s="31"/>
      <c r="AF39" s="31"/>
      <c r="AG39" s="32"/>
      <c r="AH39" s="21"/>
      <c r="AI39" s="18"/>
      <c r="AJ39" s="18"/>
      <c r="AK39" s="18"/>
    </row>
    <row r="40" ht="12.75" customHeight="1">
      <c r="A40" s="22"/>
      <c r="B40" s="53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1"/>
      <c r="AB40" s="31"/>
      <c r="AC40" s="31"/>
      <c r="AD40" s="31"/>
      <c r="AE40" s="31"/>
      <c r="AF40" s="31"/>
      <c r="AG40" s="32"/>
      <c r="AH40" s="21"/>
      <c r="AI40" s="18"/>
      <c r="AJ40" s="18"/>
      <c r="AK40" s="18"/>
    </row>
    <row r="41" ht="12.75" customHeight="1">
      <c r="A41" s="22"/>
      <c r="B41" s="53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1"/>
      <c r="AB41" s="31"/>
      <c r="AC41" s="31"/>
      <c r="AD41" s="31"/>
      <c r="AE41" s="31"/>
      <c r="AF41" s="31"/>
      <c r="AG41" s="32"/>
      <c r="AH41" s="45"/>
      <c r="AI41" s="18"/>
      <c r="AJ41" s="18"/>
      <c r="AK41" s="18"/>
    </row>
    <row r="42" ht="12.75" customHeight="1">
      <c r="A42" s="18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18"/>
      <c r="AH42" s="21"/>
      <c r="AI42" s="18"/>
      <c r="AJ42" s="18"/>
      <c r="AK42" s="18"/>
    </row>
    <row r="43" ht="12.75" customHeight="1">
      <c r="A43" s="3" t="s">
        <v>94</v>
      </c>
      <c r="B43" s="1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8"/>
      <c r="AH43" s="21"/>
      <c r="AI43" s="18"/>
      <c r="AJ43" s="18"/>
      <c r="AK43" s="18"/>
    </row>
    <row r="44" ht="12.75" customHeight="1">
      <c r="A44" s="18"/>
      <c r="B44" s="63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1"/>
      <c r="AB44" s="31"/>
      <c r="AC44" s="31"/>
      <c r="AD44" s="31"/>
      <c r="AE44" s="31"/>
      <c r="AF44" s="31"/>
      <c r="AG44" s="32"/>
      <c r="AH44" s="18"/>
      <c r="AI44" s="18"/>
      <c r="AJ44" s="18"/>
      <c r="AK44" s="18"/>
    </row>
    <row r="45" ht="12.75" customHeight="1">
      <c r="A45" s="18"/>
      <c r="B45" s="63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1"/>
      <c r="AB45" s="31"/>
      <c r="AC45" s="31"/>
      <c r="AD45" s="31"/>
      <c r="AE45" s="31"/>
      <c r="AF45" s="31"/>
      <c r="AG45" s="32"/>
      <c r="AH45" s="18"/>
      <c r="AI45" s="18"/>
      <c r="AJ45" s="18"/>
      <c r="AK45" s="18"/>
    </row>
    <row r="46" ht="12.75" customHeight="1">
      <c r="A46" s="18"/>
      <c r="B46" s="63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1"/>
      <c r="AB46" s="31"/>
      <c r="AC46" s="31"/>
      <c r="AD46" s="31"/>
      <c r="AE46" s="31"/>
      <c r="AF46" s="31"/>
      <c r="AG46" s="32"/>
      <c r="AH46" s="18"/>
      <c r="AI46" s="18"/>
      <c r="AJ46" s="18"/>
      <c r="AK46" s="18"/>
    </row>
    <row r="47" ht="12.75" customHeight="1">
      <c r="A47" s="18"/>
      <c r="B47" s="63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1"/>
      <c r="AB47" s="31"/>
      <c r="AC47" s="31"/>
      <c r="AD47" s="31"/>
      <c r="AE47" s="31"/>
      <c r="AF47" s="31"/>
      <c r="AG47" s="32"/>
      <c r="AH47" s="18"/>
      <c r="AI47" s="18"/>
      <c r="AJ47" s="18"/>
      <c r="AK47" s="18"/>
    </row>
    <row r="48" ht="12.75" customHeight="1">
      <c r="A48" s="18"/>
      <c r="B48" s="63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1"/>
      <c r="AB48" s="31"/>
      <c r="AC48" s="31"/>
      <c r="AD48" s="31"/>
      <c r="AE48" s="31"/>
      <c r="AF48" s="31"/>
      <c r="AG48" s="32"/>
      <c r="AH48" s="18"/>
      <c r="AI48" s="18"/>
      <c r="AJ48" s="18"/>
      <c r="AK48" s="18"/>
    </row>
    <row r="49" ht="12.75" customHeight="1">
      <c r="A49" s="18"/>
      <c r="B49" s="63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1"/>
      <c r="AB49" s="31"/>
      <c r="AC49" s="31"/>
      <c r="AD49" s="31"/>
      <c r="AE49" s="31"/>
      <c r="AF49" s="31"/>
      <c r="AG49" s="32"/>
      <c r="AH49" s="18"/>
      <c r="AI49" s="18"/>
      <c r="AJ49" s="18"/>
      <c r="AK49" s="18"/>
    </row>
    <row r="50" ht="12.75" customHeight="1">
      <c r="A50" s="18"/>
      <c r="B50" s="63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1"/>
      <c r="AB50" s="31"/>
      <c r="AC50" s="31"/>
      <c r="AD50" s="31"/>
      <c r="AE50" s="31"/>
      <c r="AF50" s="31"/>
      <c r="AG50" s="32"/>
      <c r="AH50" s="18"/>
      <c r="AI50" s="18"/>
      <c r="AJ50" s="18"/>
      <c r="AK50" s="18"/>
    </row>
    <row r="51" ht="12.75" customHeight="1">
      <c r="A51" s="18"/>
      <c r="B51" s="63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1"/>
      <c r="AB51" s="31"/>
      <c r="AC51" s="31"/>
      <c r="AD51" s="31"/>
      <c r="AE51" s="31"/>
      <c r="AF51" s="31"/>
      <c r="AG51" s="32"/>
      <c r="AH51" s="18"/>
      <c r="AI51" s="18"/>
      <c r="AJ51" s="18"/>
      <c r="AK51" s="18"/>
    </row>
    <row r="52" ht="12.75" customHeight="1">
      <c r="A52" s="18"/>
      <c r="B52" s="53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1"/>
      <c r="AB52" s="31"/>
      <c r="AC52" s="31"/>
      <c r="AD52" s="31"/>
      <c r="AE52" s="31"/>
      <c r="AF52" s="31"/>
      <c r="AG52" s="32"/>
      <c r="AH52" s="18"/>
      <c r="AI52" s="18"/>
      <c r="AJ52" s="18"/>
      <c r="AK52" s="18"/>
    </row>
    <row r="53" ht="12.75" customHeight="1">
      <c r="A53" s="18"/>
      <c r="B53" s="53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1"/>
      <c r="AB53" s="31"/>
      <c r="AC53" s="31"/>
      <c r="AD53" s="31"/>
      <c r="AE53" s="31"/>
      <c r="AF53" s="31"/>
      <c r="AG53" s="32"/>
      <c r="AH53" s="18"/>
      <c r="AI53" s="18"/>
      <c r="AJ53" s="18"/>
      <c r="AK53" s="18"/>
    </row>
    <row r="54" ht="12.75" customHeight="1">
      <c r="A54" s="22"/>
      <c r="B54" s="53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31"/>
      <c r="AE54" s="31"/>
      <c r="AF54" s="31"/>
      <c r="AG54" s="32"/>
      <c r="AH54" s="18"/>
      <c r="AI54" s="18"/>
      <c r="AJ54" s="18"/>
      <c r="AK54" s="18"/>
    </row>
    <row r="55" ht="12.75" customHeight="1">
      <c r="A55" s="22"/>
      <c r="B55" s="53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D55" s="31"/>
      <c r="AE55" s="31"/>
      <c r="AF55" s="31"/>
      <c r="AG55" s="32"/>
      <c r="AH55" s="18"/>
      <c r="AI55" s="18"/>
      <c r="AJ55" s="18"/>
      <c r="AK55" s="18"/>
    </row>
    <row r="56" ht="12.75" customHeight="1">
      <c r="A56" s="18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18"/>
      <c r="AH56" s="18"/>
      <c r="AI56" s="18"/>
      <c r="AJ56" s="18"/>
      <c r="AK56" s="18"/>
    </row>
    <row r="57" ht="12.75" customHeight="1">
      <c r="A57" s="3" t="s">
        <v>95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18"/>
      <c r="AH57" s="18"/>
      <c r="AI57" s="18"/>
      <c r="AJ57" s="18"/>
      <c r="AK57" s="18"/>
    </row>
    <row r="58" ht="12.75" customHeight="1">
      <c r="A58" s="22"/>
      <c r="B58" s="63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AD58" s="31"/>
      <c r="AE58" s="31"/>
      <c r="AF58" s="31"/>
      <c r="AG58" s="32"/>
      <c r="AH58" s="18"/>
      <c r="AI58" s="18"/>
      <c r="AJ58" s="18"/>
      <c r="AK58" s="18"/>
    </row>
    <row r="59" ht="12.75" customHeight="1">
      <c r="A59" s="22"/>
      <c r="B59" s="63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AD59" s="31"/>
      <c r="AE59" s="31"/>
      <c r="AF59" s="31"/>
      <c r="AG59" s="32"/>
      <c r="AH59" s="18"/>
      <c r="AI59" s="18"/>
      <c r="AJ59" s="18"/>
      <c r="AK59" s="18"/>
    </row>
    <row r="60" ht="12.75" customHeight="1">
      <c r="A60" s="22"/>
      <c r="B60" s="63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1"/>
      <c r="AB60" s="31"/>
      <c r="AC60" s="31"/>
      <c r="AD60" s="31"/>
      <c r="AE60" s="31"/>
      <c r="AF60" s="31"/>
      <c r="AG60" s="32"/>
      <c r="AH60" s="18"/>
      <c r="AI60" s="18"/>
      <c r="AJ60" s="18"/>
      <c r="AK60" s="18"/>
    </row>
    <row r="61" ht="12.75" customHeight="1">
      <c r="A61" s="22"/>
      <c r="B61" s="63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1"/>
      <c r="AB61" s="31"/>
      <c r="AC61" s="31"/>
      <c r="AD61" s="31"/>
      <c r="AE61" s="31"/>
      <c r="AF61" s="31"/>
      <c r="AG61" s="32"/>
      <c r="AH61" s="18"/>
      <c r="AI61" s="18"/>
      <c r="AJ61" s="18"/>
      <c r="AK61" s="18"/>
    </row>
    <row r="62" ht="12.75" customHeight="1">
      <c r="A62" s="22"/>
      <c r="B62" s="63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1"/>
      <c r="AB62" s="31"/>
      <c r="AC62" s="31"/>
      <c r="AD62" s="31"/>
      <c r="AE62" s="31"/>
      <c r="AF62" s="31"/>
      <c r="AG62" s="32"/>
      <c r="AH62" s="18"/>
      <c r="AI62" s="18"/>
      <c r="AJ62" s="18"/>
      <c r="AK62" s="18"/>
    </row>
    <row r="63" ht="12.75" customHeight="1">
      <c r="A63" s="22"/>
      <c r="B63" s="63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1"/>
      <c r="AB63" s="31"/>
      <c r="AC63" s="31"/>
      <c r="AD63" s="31"/>
      <c r="AE63" s="31"/>
      <c r="AF63" s="31"/>
      <c r="AG63" s="32"/>
      <c r="AH63" s="18"/>
      <c r="AI63" s="18"/>
      <c r="AJ63" s="18"/>
      <c r="AK63" s="18"/>
    </row>
    <row r="64" ht="12.75" customHeight="1">
      <c r="A64" s="22"/>
      <c r="B64" s="63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1"/>
      <c r="AB64" s="31"/>
      <c r="AC64" s="31"/>
      <c r="AD64" s="31"/>
      <c r="AE64" s="31"/>
      <c r="AF64" s="31"/>
      <c r="AG64" s="32"/>
      <c r="AH64" s="18"/>
      <c r="AI64" s="18"/>
      <c r="AJ64" s="18"/>
      <c r="AK64" s="18"/>
    </row>
    <row r="65" ht="12.75" customHeight="1">
      <c r="A65" s="22"/>
      <c r="B65" s="63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1"/>
      <c r="AB65" s="31"/>
      <c r="AC65" s="31"/>
      <c r="AD65" s="31"/>
      <c r="AE65" s="31"/>
      <c r="AF65" s="31"/>
      <c r="AG65" s="32"/>
      <c r="AH65" s="18"/>
      <c r="AI65" s="18"/>
      <c r="AJ65" s="18"/>
      <c r="AK65" s="18"/>
    </row>
    <row r="66" ht="12.75" customHeight="1">
      <c r="A66" s="22"/>
      <c r="B66" s="53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1"/>
      <c r="AB66" s="31"/>
      <c r="AC66" s="31"/>
      <c r="AD66" s="31"/>
      <c r="AE66" s="31"/>
      <c r="AF66" s="31"/>
      <c r="AG66" s="32"/>
      <c r="AH66" s="18"/>
      <c r="AI66" s="18"/>
      <c r="AJ66" s="18"/>
      <c r="AK66" s="18"/>
    </row>
    <row r="67" ht="12.75" customHeight="1">
      <c r="A67" s="22"/>
      <c r="B67" s="5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1"/>
      <c r="AB67" s="31"/>
      <c r="AC67" s="31"/>
      <c r="AD67" s="31"/>
      <c r="AE67" s="31"/>
      <c r="AF67" s="31"/>
      <c r="AG67" s="32"/>
      <c r="AH67" s="18"/>
      <c r="AI67" s="18"/>
      <c r="AJ67" s="18"/>
      <c r="AK67" s="18"/>
    </row>
    <row r="68" ht="12.75" customHeight="1">
      <c r="A68" s="22"/>
      <c r="B68" s="53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1"/>
      <c r="AB68" s="31"/>
      <c r="AC68" s="31"/>
      <c r="AD68" s="31"/>
      <c r="AE68" s="31"/>
      <c r="AF68" s="31"/>
      <c r="AG68" s="32"/>
      <c r="AH68" s="18"/>
      <c r="AI68" s="18"/>
      <c r="AJ68" s="18"/>
      <c r="AK68" s="18"/>
    </row>
    <row r="69" ht="12.75" customHeight="1">
      <c r="A69" s="22"/>
      <c r="B69" s="53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1"/>
      <c r="AB69" s="31"/>
      <c r="AC69" s="31"/>
      <c r="AD69" s="31"/>
      <c r="AE69" s="31"/>
      <c r="AF69" s="31"/>
      <c r="AG69" s="32"/>
      <c r="AH69" s="18"/>
      <c r="AI69" s="18"/>
      <c r="AJ69" s="18"/>
      <c r="AK69" s="18"/>
    </row>
    <row r="70" ht="12.75" customHeight="1">
      <c r="A70" s="18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18"/>
      <c r="AH70" s="18"/>
      <c r="AI70" s="18"/>
      <c r="AJ70" s="18"/>
      <c r="AK70" s="18"/>
    </row>
    <row r="71" ht="12.0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ht="12.0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ht="12.0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ht="12.0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ht="12.0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ht="12.0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ht="12.0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ht="12.0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ht="12.0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ht="12.0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ht="12.0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ht="12.0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ht="12.0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ht="12.0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ht="12.0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ht="12.0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ht="12.0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ht="12.0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ht="12.0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ht="12.0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ht="12.0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ht="12.0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ht="12.0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ht="12.0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ht="12.0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ht="12.0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ht="12.0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ht="12.0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ht="12.0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ht="12.0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ht="12.0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ht="12.0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ht="12.0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ht="12.0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ht="12.0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ht="12.0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ht="12.0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ht="12.0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ht="12.0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ht="12.0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ht="12.0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ht="12.0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ht="12.0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ht="12.0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ht="12.0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ht="12.0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ht="12.0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ht="12.0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ht="12.0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ht="12.0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ht="12.0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ht="12.0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ht="12.0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ht="12.0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ht="12.0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ht="12.0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ht="12.0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ht="12.0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ht="12.0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ht="12.0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ht="12.0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ht="12.0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ht="12.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ht="12.0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ht="12.0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ht="12.0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ht="12.0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ht="12.0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ht="12.0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ht="12.0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ht="12.0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ht="12.0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ht="12.0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ht="12.0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ht="12.0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ht="12.0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ht="12.0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ht="12.0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ht="12.0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ht="12.0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ht="12.0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ht="12.0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ht="12.0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ht="12.0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ht="12.0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ht="12.0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ht="12.0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ht="12.0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ht="12.0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ht="12.0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ht="12.0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ht="12.0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ht="12.0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ht="12.0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ht="12.0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ht="12.0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ht="12.0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ht="12.0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ht="12.0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ht="12.0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ht="12.0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ht="12.0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ht="12.0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ht="12.0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ht="12.0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ht="12.0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ht="12.0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ht="12.0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ht="12.0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ht="12.0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ht="12.0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ht="12.0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ht="12.0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ht="12.0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ht="12.0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ht="12.0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ht="12.0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ht="12.0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ht="12.0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ht="12.0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ht="12.0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ht="12.0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ht="12.0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ht="12.0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ht="12.0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ht="12.0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ht="12.0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ht="12.0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ht="12.0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ht="12.0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ht="12.0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ht="12.0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ht="12.0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ht="12.0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ht="12.0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ht="12.0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ht="12.0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ht="12.0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ht="12.0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ht="12.0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ht="12.0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ht="12.0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ht="12.0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ht="12.0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ht="12.0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ht="12.0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ht="12.0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ht="12.0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ht="12.0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ht="12.0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ht="12.0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ht="12.0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ht="12.0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ht="12.0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ht="12.0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ht="12.0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ht="12.0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ht="12.0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ht="12.0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ht="12.0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ht="12.0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ht="12.0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ht="12.0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ht="12.0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ht="12.0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ht="12.0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ht="12.0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ht="12.0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ht="12.0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ht="12.0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ht="12.0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ht="12.0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ht="12.0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ht="12.0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ht="12.0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ht="12.0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ht="12.0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ht="12.0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ht="12.0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ht="12.0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ht="12.0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ht="12.0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ht="12.0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ht="12.0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ht="12.0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ht="12.0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ht="12.0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4.13"/>
    <col customWidth="1" min="3" max="3" width="5.88"/>
    <col customWidth="1" min="4" max="4" width="22.5"/>
  </cols>
  <sheetData>
    <row r="1">
      <c r="A1" s="8" t="s">
        <v>4</v>
      </c>
      <c r="B1" s="10" t="s">
        <v>7</v>
      </c>
      <c r="C1" s="8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8" t="s">
        <v>14</v>
      </c>
      <c r="B2" s="8" t="s">
        <v>15</v>
      </c>
      <c r="C2" s="8" t="s">
        <v>17</v>
      </c>
      <c r="D2" s="8" t="s">
        <v>18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8" t="s">
        <v>21</v>
      </c>
      <c r="B3" s="21">
        <v>19.0</v>
      </c>
      <c r="C3" s="23"/>
      <c r="D3" s="25" t="s">
        <v>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8" t="s">
        <v>27</v>
      </c>
      <c r="B4" s="21">
        <v>1.0</v>
      </c>
      <c r="C4" s="23"/>
      <c r="D4" s="25" t="s">
        <v>30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8" t="s">
        <v>33</v>
      </c>
      <c r="B5" s="21">
        <v>13.0</v>
      </c>
      <c r="C5" s="23"/>
      <c r="D5" s="25" t="s">
        <v>34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8" t="s">
        <v>35</v>
      </c>
      <c r="B6" s="21">
        <v>10.0</v>
      </c>
      <c r="C6" s="21"/>
      <c r="D6" s="25" t="s">
        <v>36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8" t="s">
        <v>37</v>
      </c>
      <c r="B7" s="21">
        <v>11.0</v>
      </c>
      <c r="C7" s="21" t="s">
        <v>38</v>
      </c>
      <c r="D7" s="25" t="s">
        <v>39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8" t="s">
        <v>40</v>
      </c>
      <c r="B8" s="21">
        <v>9.0</v>
      </c>
      <c r="C8" s="23"/>
      <c r="D8" s="25" t="s">
        <v>41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8" t="s">
        <v>42</v>
      </c>
      <c r="B9" s="21">
        <v>5.0</v>
      </c>
      <c r="C9" s="23"/>
      <c r="D9" s="25" t="s">
        <v>43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8" t="s">
        <v>49</v>
      </c>
      <c r="B10" s="21">
        <v>18.0</v>
      </c>
      <c r="C10" s="37"/>
      <c r="D10" s="25" t="s">
        <v>50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8" t="s">
        <v>52</v>
      </c>
      <c r="B11" s="21">
        <v>22.0</v>
      </c>
      <c r="C11" s="37"/>
      <c r="D11" s="25" t="s">
        <v>53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8" t="s">
        <v>55</v>
      </c>
      <c r="B12" s="21">
        <v>12.0</v>
      </c>
      <c r="C12" s="23"/>
      <c r="D12" s="25" t="s">
        <v>56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8" t="s">
        <v>58</v>
      </c>
      <c r="B13" s="21">
        <v>3.0</v>
      </c>
      <c r="C13" s="21" t="s">
        <v>38</v>
      </c>
      <c r="D13" s="25" t="s">
        <v>59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8" t="s">
        <v>38</v>
      </c>
      <c r="B14" s="45">
        <v>17.0</v>
      </c>
      <c r="C14" s="23"/>
      <c r="D14" s="25" t="s">
        <v>62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8" t="s">
        <v>63</v>
      </c>
      <c r="B15" s="21">
        <v>4.0</v>
      </c>
      <c r="C15" s="37"/>
      <c r="D15" s="25" t="s">
        <v>64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8" t="s">
        <v>65</v>
      </c>
      <c r="B16" s="21">
        <v>6.0</v>
      </c>
      <c r="C16" s="37"/>
      <c r="D16" s="25" t="s">
        <v>66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2"/>
      <c r="B17" s="2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0" t="s">
        <v>67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>
      <c r="A1" s="110" t="s">
        <v>96</v>
      </c>
    </row>
  </sheetData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3" width="7.38"/>
    <col customWidth="1" min="4" max="4" width="4.0"/>
  </cols>
  <sheetData>
    <row r="1">
      <c r="A1" s="320" t="s">
        <v>210</v>
      </c>
      <c r="B1" s="321"/>
      <c r="C1" s="321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</row>
    <row r="2">
      <c r="A2" s="37"/>
      <c r="B2" s="323" t="s">
        <v>211</v>
      </c>
      <c r="C2" s="324" t="s">
        <v>212</v>
      </c>
    </row>
    <row r="3">
      <c r="A3" s="325" t="s">
        <v>213</v>
      </c>
      <c r="B3" s="326">
        <f>SUM(B4:B6)</f>
        <v>53</v>
      </c>
      <c r="C3" s="326">
        <f>C7+C6+C5+C4</f>
        <v>19</v>
      </c>
    </row>
    <row r="4">
      <c r="A4" s="37" t="s">
        <v>81</v>
      </c>
      <c r="B4" s="327">
        <f>Tabellino!W21</f>
        <v>38</v>
      </c>
      <c r="C4" s="327">
        <f>Tabellino!U21</f>
        <v>7</v>
      </c>
    </row>
    <row r="5">
      <c r="A5" s="37" t="s">
        <v>79</v>
      </c>
      <c r="B5" s="327">
        <f>Tabellino!L21</f>
        <v>10</v>
      </c>
      <c r="C5" s="327">
        <f>Tabellino!K21</f>
        <v>10</v>
      </c>
    </row>
    <row r="6">
      <c r="A6" s="37" t="s">
        <v>82</v>
      </c>
      <c r="B6" s="327">
        <f>Tabellino!AA21</f>
        <v>5</v>
      </c>
      <c r="C6" s="328">
        <f>Squadra!K5</f>
        <v>1</v>
      </c>
    </row>
    <row r="7">
      <c r="A7" s="37" t="s">
        <v>117</v>
      </c>
      <c r="C7" s="327">
        <f>Squadra!K7</f>
        <v>1</v>
      </c>
    </row>
    <row r="8">
      <c r="A8" s="329" t="s">
        <v>215</v>
      </c>
      <c r="B8" s="330">
        <f>Tabellino!E29</f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0" width="4.25"/>
    <col customWidth="1" min="11" max="11" width="8.63"/>
    <col customWidth="1" min="12" max="12" width="4.25"/>
    <col customWidth="1" min="13" max="13" width="8.75"/>
    <col customWidth="1" min="14" max="15" width="4.25"/>
    <col customWidth="1" min="16" max="16" width="9.13"/>
    <col customWidth="1" min="17" max="19" width="4.25"/>
    <col customWidth="1" min="20" max="20" width="5.38"/>
    <col customWidth="1" min="21" max="21" width="5.0"/>
    <col customWidth="1" min="22" max="33" width="4.25"/>
    <col customWidth="1" min="34" max="34" width="7.0"/>
    <col customWidth="1" min="35" max="41" width="9.5"/>
    <col customWidth="1" min="42" max="42" width="4.75"/>
    <col customWidth="1" min="43" max="72" width="6.0"/>
  </cols>
  <sheetData>
    <row r="1" ht="17.25" customHeight="1">
      <c r="A1" s="208" t="s">
        <v>102</v>
      </c>
      <c r="B1" s="210">
        <v>18.0</v>
      </c>
      <c r="C1" s="214">
        <f>B1</f>
        <v>18</v>
      </c>
      <c r="D1" s="216" t="str">
        <f>C2</f>
        <v>Annalisa Scarrone</v>
      </c>
      <c r="E1" s="217"/>
      <c r="F1" s="217"/>
      <c r="G1" s="217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</row>
    <row r="2" ht="12.75" customHeight="1">
      <c r="A2" s="224"/>
      <c r="B2" s="225"/>
      <c r="C2" s="229" t="str">
        <f>VLOOKUP(B1, Atleti!$B$3:$D$16, 3, FALSE)</f>
        <v>Annalisa Scarrone</v>
      </c>
      <c r="D2" s="218"/>
      <c r="E2" s="218"/>
      <c r="F2" s="218"/>
      <c r="G2" s="218"/>
      <c r="H2" s="218"/>
      <c r="J2" s="225"/>
      <c r="K2" s="218"/>
      <c r="L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</row>
    <row r="3" ht="12.75" customHeight="1"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</row>
    <row r="4" ht="12.75" customHeight="1"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</row>
    <row r="5" ht="12.75" customHeight="1"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</row>
    <row r="6" ht="12.75" customHeight="1"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</row>
    <row r="7" ht="12.75" customHeight="1"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</row>
    <row r="8" ht="12.75" customHeight="1"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</row>
    <row r="9" ht="12.75" customHeight="1"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</row>
    <row r="10" ht="12.75" customHeight="1"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33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</row>
    <row r="11" ht="12.75" customHeight="1"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</row>
    <row r="12" ht="12.75" customHeight="1"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</row>
    <row r="13" ht="12.75" customHeight="1"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</row>
    <row r="14" ht="12.75" customHeight="1"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18"/>
    </row>
    <row r="15" ht="12.75" customHeight="1"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</row>
    <row r="16" ht="12.75" customHeight="1">
      <c r="S16" s="18"/>
      <c r="T16" s="2" t="s">
        <v>114</v>
      </c>
      <c r="U16" s="2" t="s">
        <v>115</v>
      </c>
      <c r="V16" s="218"/>
      <c r="W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18"/>
    </row>
    <row r="17" ht="12.75" customHeight="1">
      <c r="S17" s="234" t="s">
        <v>79</v>
      </c>
      <c r="T17" s="235">
        <f>B60</f>
        <v>0</v>
      </c>
      <c r="U17" s="236">
        <f>G60</f>
        <v>0</v>
      </c>
      <c r="V17" s="237" t="s">
        <v>116</v>
      </c>
      <c r="W17" s="12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</row>
    <row r="18" ht="12.75" customHeight="1">
      <c r="S18" s="234" t="s">
        <v>81</v>
      </c>
      <c r="T18" s="235">
        <f>L53</f>
        <v>0</v>
      </c>
      <c r="U18" s="236">
        <f>Q53</f>
        <v>0</v>
      </c>
      <c r="V18" s="238">
        <f>U59</f>
        <v>0</v>
      </c>
      <c r="W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18"/>
    </row>
    <row r="19" ht="12.75" customHeight="1">
      <c r="S19" s="234" t="s">
        <v>82</v>
      </c>
      <c r="T19" s="235">
        <f t="shared" ref="T19:U19" si="1">L60</f>
        <v>0</v>
      </c>
      <c r="U19" s="236">
        <f t="shared" si="1"/>
        <v>0</v>
      </c>
      <c r="V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</row>
    <row r="20" ht="12.75" customHeight="1">
      <c r="S20" s="25" t="s">
        <v>117</v>
      </c>
      <c r="T20" s="233"/>
      <c r="U20" s="235">
        <f>M62</f>
        <v>0</v>
      </c>
      <c r="V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18"/>
    </row>
    <row r="21" ht="12.75" customHeight="1">
      <c r="S21" s="239" t="s">
        <v>118</v>
      </c>
      <c r="T21" s="240">
        <f t="shared" ref="T21:U21" si="2">SUM(T17:T20)</f>
        <v>0</v>
      </c>
      <c r="U21" s="241">
        <f t="shared" si="2"/>
        <v>0</v>
      </c>
      <c r="V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</row>
    <row r="22" ht="12.75" customHeight="1"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18"/>
    </row>
    <row r="23" ht="12.75" customHeight="1">
      <c r="M23" s="218"/>
      <c r="N23" s="218"/>
      <c r="O23" s="218"/>
      <c r="P23" s="218"/>
      <c r="Q23" s="218"/>
      <c r="R23" s="218"/>
      <c r="S23" s="242" t="s">
        <v>80</v>
      </c>
      <c r="T23" s="218"/>
      <c r="V23" s="242" t="s">
        <v>81</v>
      </c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45" t="s">
        <v>119</v>
      </c>
      <c r="T24" s="246">
        <f t="shared" ref="T24:T25" si="3">B55</f>
        <v>0</v>
      </c>
      <c r="V24" s="245" t="s">
        <v>119</v>
      </c>
      <c r="W24" s="246">
        <f t="shared" ref="W24:W25" si="4">L55</f>
        <v>0</v>
      </c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18"/>
    </row>
    <row r="25" ht="12.75" customHeight="1">
      <c r="M25" s="218"/>
      <c r="N25" s="218"/>
      <c r="O25" s="218"/>
      <c r="P25" s="218"/>
      <c r="Q25" s="218"/>
      <c r="R25" s="218"/>
      <c r="S25" s="245" t="s">
        <v>120</v>
      </c>
      <c r="T25" s="246">
        <f t="shared" si="3"/>
        <v>0</v>
      </c>
      <c r="V25" s="245" t="s">
        <v>120</v>
      </c>
      <c r="W25" s="246">
        <f t="shared" si="4"/>
        <v>0</v>
      </c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</row>
    <row r="26" ht="12.75" customHeight="1">
      <c r="M26" s="218"/>
      <c r="N26" s="218"/>
      <c r="O26" s="218"/>
      <c r="P26" s="218"/>
      <c r="Q26" s="218"/>
      <c r="R26" s="218"/>
      <c r="S26" s="247" t="s">
        <v>121</v>
      </c>
      <c r="T26" s="248">
        <f>G53</f>
        <v>0</v>
      </c>
      <c r="V26" s="247" t="s">
        <v>122</v>
      </c>
      <c r="W26" s="249">
        <f>P53</f>
        <v>0</v>
      </c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18"/>
      <c r="BB26" s="218"/>
      <c r="BC26" s="218"/>
      <c r="BD26" s="218"/>
      <c r="BE26" s="218"/>
      <c r="BF26" s="218"/>
      <c r="BG26" s="218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  <c r="BR26" s="218"/>
      <c r="BS26" s="218"/>
      <c r="BT26" s="218"/>
    </row>
    <row r="27" ht="12.75" customHeight="1"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</row>
    <row r="28" ht="12.75" customHeight="1"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  <c r="BA28" s="218"/>
      <c r="BB28" s="218"/>
      <c r="BC28" s="218"/>
      <c r="BD28" s="218"/>
      <c r="BE28" s="218"/>
      <c r="BF28" s="218"/>
      <c r="BG28" s="218"/>
      <c r="BH28" s="218"/>
      <c r="BI28" s="218"/>
      <c r="BJ28" s="218"/>
      <c r="BK28" s="218"/>
      <c r="BL28" s="218"/>
      <c r="BM28" s="218"/>
      <c r="BN28" s="218"/>
      <c r="BO28" s="218"/>
      <c r="BP28" s="218"/>
      <c r="BQ28" s="218"/>
      <c r="BR28" s="218"/>
      <c r="BS28" s="218"/>
      <c r="BT28" s="218"/>
    </row>
    <row r="29" ht="12.75" customHeight="1"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  <c r="BA29" s="218"/>
      <c r="BB29" s="218"/>
      <c r="BC29" s="218"/>
      <c r="BD29" s="218"/>
      <c r="BE29" s="218"/>
      <c r="BF29" s="218"/>
      <c r="BG29" s="218"/>
      <c r="BH29" s="218"/>
      <c r="BI29" s="218"/>
      <c r="BJ29" s="218"/>
      <c r="BK29" s="218"/>
      <c r="BL29" s="218"/>
      <c r="BM29" s="218"/>
      <c r="BN29" s="218"/>
      <c r="BO29" s="218"/>
      <c r="BP29" s="218"/>
      <c r="BQ29" s="218"/>
      <c r="BR29" s="218"/>
      <c r="BS29" s="218"/>
      <c r="BT29" s="218"/>
    </row>
    <row r="30" ht="12.75" customHeight="1"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18"/>
    </row>
    <row r="31" ht="12.75" customHeight="1"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</row>
    <row r="32" ht="12.75" customHeight="1"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18"/>
    </row>
    <row r="33" ht="12.75" customHeight="1"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18"/>
    </row>
    <row r="34" ht="12.75" customHeight="1"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  <c r="BA34" s="218"/>
      <c r="BB34" s="218"/>
      <c r="BC34" s="218"/>
      <c r="BD34" s="218"/>
      <c r="BE34" s="218"/>
      <c r="BF34" s="218"/>
      <c r="BG34" s="218"/>
      <c r="BH34" s="218"/>
      <c r="BI34" s="218"/>
      <c r="BJ34" s="218"/>
      <c r="BK34" s="218"/>
      <c r="BL34" s="218"/>
      <c r="BM34" s="218"/>
      <c r="BN34" s="218"/>
      <c r="BO34" s="218"/>
      <c r="BP34" s="218"/>
      <c r="BQ34" s="218"/>
      <c r="BR34" s="218"/>
      <c r="BS34" s="218"/>
      <c r="BT34" s="218"/>
    </row>
    <row r="35" ht="12.75" customHeight="1"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  <c r="BA35" s="218"/>
      <c r="BB35" s="218"/>
      <c r="BC35" s="218"/>
      <c r="BD35" s="218"/>
      <c r="BE35" s="218"/>
      <c r="BF35" s="218"/>
      <c r="BG35" s="218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  <c r="BR35" s="218"/>
      <c r="BS35" s="218"/>
      <c r="BT35" s="218"/>
    </row>
    <row r="36" ht="12.75" customHeight="1"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  <c r="BA36" s="218"/>
      <c r="BB36" s="218"/>
      <c r="BC36" s="218"/>
      <c r="BD36" s="218"/>
      <c r="BE36" s="218"/>
      <c r="BF36" s="218"/>
      <c r="BG36" s="218"/>
      <c r="BH36" s="218"/>
      <c r="BI36" s="218"/>
      <c r="BJ36" s="218"/>
      <c r="BK36" s="218"/>
      <c r="BL36" s="218"/>
      <c r="BM36" s="218"/>
      <c r="BN36" s="218"/>
      <c r="BO36" s="218"/>
      <c r="BP36" s="218"/>
      <c r="BQ36" s="218"/>
      <c r="BR36" s="218"/>
      <c r="BS36" s="218"/>
      <c r="BT36" s="218"/>
    </row>
    <row r="37" ht="12.75" customHeight="1"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  <c r="BA37" s="218"/>
      <c r="BB37" s="218"/>
      <c r="BC37" s="218"/>
      <c r="BD37" s="218"/>
      <c r="BE37" s="218"/>
      <c r="BF37" s="218"/>
      <c r="BG37" s="218"/>
      <c r="BH37" s="218"/>
      <c r="BI37" s="218"/>
      <c r="BJ37" s="218"/>
      <c r="BK37" s="218"/>
      <c r="BL37" s="218"/>
      <c r="BM37" s="218"/>
      <c r="BN37" s="218"/>
      <c r="BO37" s="218"/>
      <c r="BP37" s="218"/>
      <c r="BQ37" s="218"/>
      <c r="BR37" s="218"/>
      <c r="BS37" s="218"/>
      <c r="BT37" s="218"/>
    </row>
    <row r="38" ht="12.75" customHeight="1"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  <c r="BA38" s="218"/>
      <c r="BB38" s="218"/>
      <c r="BC38" s="218"/>
      <c r="BD38" s="218"/>
      <c r="BE38" s="218"/>
      <c r="BF38" s="218"/>
      <c r="BG38" s="218"/>
      <c r="BH38" s="218"/>
      <c r="BI38" s="218"/>
      <c r="BJ38" s="218"/>
      <c r="BK38" s="218"/>
      <c r="BL38" s="218"/>
      <c r="BM38" s="218"/>
      <c r="BN38" s="218"/>
      <c r="BO38" s="218"/>
      <c r="BP38" s="218"/>
      <c r="BQ38" s="218"/>
      <c r="BR38" s="218"/>
      <c r="BS38" s="218"/>
      <c r="BT38" s="218"/>
    </row>
    <row r="39" ht="12.75" customHeight="1"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8"/>
      <c r="BK39" s="218"/>
      <c r="BL39" s="218"/>
      <c r="BM39" s="218"/>
      <c r="BN39" s="218"/>
      <c r="BO39" s="218"/>
      <c r="BP39" s="218"/>
      <c r="BQ39" s="218"/>
      <c r="BR39" s="218"/>
      <c r="BS39" s="218"/>
      <c r="BT39" s="218"/>
    </row>
    <row r="40" ht="12.75" customHeight="1"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/>
      <c r="BK40" s="218"/>
      <c r="BL40" s="218"/>
      <c r="BM40" s="218"/>
      <c r="BN40" s="218"/>
      <c r="BO40" s="218"/>
      <c r="BP40" s="218"/>
      <c r="BQ40" s="218"/>
      <c r="BR40" s="218"/>
      <c r="BS40" s="218"/>
      <c r="BT40" s="218"/>
    </row>
    <row r="41" ht="12.75" customHeight="1"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18"/>
      <c r="BB41" s="218"/>
      <c r="BC41" s="218"/>
      <c r="BD41" s="218"/>
      <c r="BE41" s="218"/>
      <c r="BF41" s="218"/>
      <c r="BG41" s="218"/>
      <c r="BH41" s="218"/>
      <c r="BI41" s="218"/>
      <c r="BJ41" s="218"/>
      <c r="BK41" s="218"/>
      <c r="BL41" s="218"/>
      <c r="BM41" s="218"/>
      <c r="BN41" s="218"/>
      <c r="BO41" s="218"/>
      <c r="BP41" s="218"/>
      <c r="BQ41" s="218"/>
      <c r="BR41" s="218"/>
      <c r="BS41" s="218"/>
      <c r="BT41" s="218"/>
    </row>
    <row r="42" ht="12.75" customHeight="1"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</row>
    <row r="43" ht="12.75" customHeight="1"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8"/>
      <c r="BK43" s="218"/>
      <c r="BL43" s="218"/>
      <c r="BM43" s="218"/>
      <c r="BN43" s="218"/>
      <c r="BO43" s="218"/>
      <c r="BP43" s="218"/>
      <c r="BQ43" s="218"/>
      <c r="BR43" s="218"/>
      <c r="BS43" s="218"/>
      <c r="BT43" s="218"/>
    </row>
    <row r="44" ht="12.75" customHeight="1"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  <c r="BA44" s="218"/>
      <c r="BB44" s="218"/>
      <c r="BC44" s="218"/>
      <c r="BD44" s="218"/>
      <c r="BE44" s="218"/>
      <c r="BF44" s="218"/>
      <c r="BG44" s="218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  <c r="BR44" s="218"/>
      <c r="BS44" s="218"/>
      <c r="BT44" s="218"/>
    </row>
    <row r="45" ht="12.75" customHeight="1"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  <c r="BA45" s="218"/>
      <c r="BB45" s="218"/>
      <c r="BC45" s="218"/>
      <c r="BD45" s="218"/>
      <c r="BE45" s="218"/>
      <c r="BF45" s="218"/>
      <c r="BG45" s="218"/>
      <c r="BH45" s="218"/>
      <c r="BI45" s="218"/>
      <c r="BJ45" s="218"/>
      <c r="BK45" s="218"/>
      <c r="BL45" s="218"/>
      <c r="BM45" s="218"/>
      <c r="BN45" s="218"/>
      <c r="BO45" s="218"/>
      <c r="BP45" s="218"/>
      <c r="BQ45" s="218"/>
      <c r="BR45" s="218"/>
      <c r="BS45" s="218"/>
      <c r="BT45" s="218"/>
    </row>
    <row r="46" ht="12.75" customHeight="1"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8"/>
      <c r="BO46" s="218"/>
      <c r="BP46" s="218"/>
      <c r="BQ46" s="218"/>
      <c r="BR46" s="218"/>
      <c r="BS46" s="218"/>
      <c r="BT46" s="218"/>
    </row>
    <row r="47" ht="12.75" customHeight="1"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</row>
    <row r="48" ht="12.75" customHeight="1"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</row>
    <row r="49" ht="12.75" customHeight="1"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/>
      <c r="BL49" s="218"/>
      <c r="BM49" s="218"/>
      <c r="BN49" s="218"/>
      <c r="BO49" s="218"/>
      <c r="BP49" s="218"/>
      <c r="BQ49" s="218"/>
      <c r="BR49" s="218"/>
      <c r="BS49" s="218"/>
      <c r="BT49" s="218"/>
    </row>
    <row r="50" ht="12.75" customHeight="1">
      <c r="A50" s="224" t="s">
        <v>123</v>
      </c>
      <c r="B50" s="225"/>
      <c r="C50" s="218"/>
      <c r="D50" s="218"/>
      <c r="E50" s="218"/>
      <c r="F50" s="218"/>
      <c r="G50" s="218"/>
      <c r="H50" s="218"/>
      <c r="J50" s="225"/>
      <c r="K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18"/>
      <c r="BB50" s="218"/>
      <c r="BC50" s="218"/>
      <c r="BD50" s="218"/>
      <c r="BE50" s="218"/>
      <c r="BF50" s="218"/>
      <c r="BG50" s="218"/>
      <c r="BH50" s="218"/>
      <c r="BI50" s="218"/>
      <c r="BJ50" s="218"/>
      <c r="BK50" s="218"/>
      <c r="BL50" s="218"/>
      <c r="BM50" s="218"/>
      <c r="BN50" s="218"/>
      <c r="BO50" s="218"/>
      <c r="BP50" s="218"/>
      <c r="BQ50" s="218"/>
      <c r="BR50" s="218"/>
      <c r="BS50" s="218"/>
      <c r="BT50" s="218"/>
    </row>
    <row r="51" ht="12.75" customHeight="1">
      <c r="A51" s="218"/>
      <c r="B51" s="250" t="s">
        <v>80</v>
      </c>
      <c r="C51" s="251"/>
      <c r="D51" s="251"/>
      <c r="E51" s="251"/>
      <c r="F51" s="251"/>
      <c r="G51" s="251"/>
      <c r="H51" s="218"/>
      <c r="K51" s="218"/>
      <c r="L51" s="250" t="s">
        <v>81</v>
      </c>
      <c r="M51" s="251"/>
      <c r="N51" s="251"/>
      <c r="O51" s="251"/>
      <c r="P51" s="251"/>
      <c r="Q51" s="251"/>
      <c r="R51" s="251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</row>
    <row r="52" ht="12.75" customHeight="1">
      <c r="A52" s="252"/>
      <c r="B52" s="253" t="s">
        <v>31</v>
      </c>
      <c r="C52" s="253" t="s">
        <v>70</v>
      </c>
      <c r="D52" s="253" t="s">
        <v>32</v>
      </c>
      <c r="E52" s="254" t="s">
        <v>68</v>
      </c>
      <c r="F52" s="253" t="s">
        <v>73</v>
      </c>
      <c r="G52" s="253" t="s">
        <v>71</v>
      </c>
      <c r="H52" s="253" t="s">
        <v>84</v>
      </c>
      <c r="K52" s="252"/>
      <c r="L52" s="253" t="s">
        <v>28</v>
      </c>
      <c r="M52" s="253" t="s">
        <v>51</v>
      </c>
      <c r="N52" s="253" t="s">
        <v>74</v>
      </c>
      <c r="O52" s="253" t="s">
        <v>69</v>
      </c>
      <c r="P52" s="253" t="s">
        <v>76</v>
      </c>
      <c r="Q52" s="253" t="s">
        <v>54</v>
      </c>
      <c r="R52" s="253" t="s">
        <v>84</v>
      </c>
      <c r="T52" s="225" t="s">
        <v>124</v>
      </c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18"/>
      <c r="BC52" s="218"/>
      <c r="BD52" s="218"/>
      <c r="BE52" s="218"/>
      <c r="BF52" s="218"/>
      <c r="BG52" s="218"/>
      <c r="BH52" s="218"/>
      <c r="BI52" s="218"/>
      <c r="BJ52" s="218"/>
      <c r="BK52" s="218"/>
      <c r="BL52" s="218"/>
      <c r="BM52" s="218"/>
      <c r="BN52" s="218"/>
      <c r="BO52" s="218"/>
      <c r="BP52" s="218"/>
      <c r="BQ52" s="218"/>
      <c r="BR52" s="218"/>
      <c r="BS52" s="218"/>
      <c r="BT52" s="218"/>
    </row>
    <row r="53" ht="12.75" customHeight="1">
      <c r="A53" s="252"/>
      <c r="B53" s="255">
        <f>COUNTIF(B209:AG213,B52)</f>
        <v>0</v>
      </c>
      <c r="C53" s="255">
        <f>COUNTIF(B209:AG213,C52)</f>
        <v>0</v>
      </c>
      <c r="D53" s="256">
        <f>COUNTIF(B209:AG213,D52)</f>
        <v>0</v>
      </c>
      <c r="E53" s="257">
        <f>COUNTIF(B209:AG213,E52)</f>
        <v>0</v>
      </c>
      <c r="F53" s="258">
        <f>COUNTIF(B209:AG213,F52)</f>
        <v>0</v>
      </c>
      <c r="G53" s="255">
        <f>COUNTIF(B209:AG213,G52)</f>
        <v>0</v>
      </c>
      <c r="H53" s="255">
        <f t="shared" ref="H53:H54" si="5">SUM(B53:G53)</f>
        <v>0</v>
      </c>
      <c r="K53" s="252"/>
      <c r="L53" s="255">
        <f>COUNTIF(B209:AG213,L52)</f>
        <v>0</v>
      </c>
      <c r="M53" s="255">
        <f>COUNTIF(B209:AG213,M52)</f>
        <v>0</v>
      </c>
      <c r="N53" s="255">
        <f>COUNTIF(B209:AG213,N52)</f>
        <v>0</v>
      </c>
      <c r="O53" s="255">
        <f>COUNTIF(B209:AG213,O52)</f>
        <v>0</v>
      </c>
      <c r="P53" s="255">
        <f>COUNTIF(B209:AG213,P52)</f>
        <v>0</v>
      </c>
      <c r="Q53" s="255">
        <f>COUNTIF(B209:AG213,Q52)</f>
        <v>0</v>
      </c>
      <c r="R53" s="259">
        <f t="shared" ref="R53:R54" si="6">SUM(L53:Q53)</f>
        <v>0</v>
      </c>
      <c r="T53" s="260" t="s">
        <v>78</v>
      </c>
      <c r="U53" s="261">
        <f>B60+L53+L60</f>
        <v>0</v>
      </c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8"/>
      <c r="AY53" s="218"/>
      <c r="AZ53" s="218"/>
      <c r="BA53" s="218"/>
      <c r="BB53" s="218"/>
      <c r="BC53" s="218"/>
      <c r="BD53" s="218"/>
      <c r="BE53" s="218"/>
      <c r="BF53" s="218"/>
      <c r="BG53" s="218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  <c r="BR53" s="218"/>
      <c r="BS53" s="218"/>
      <c r="BT53" s="218"/>
    </row>
    <row r="54" ht="12.75" customHeight="1">
      <c r="A54" s="252"/>
      <c r="B54" s="262">
        <f>IF(H53&gt;0,B53/H53,0)</f>
        <v>0</v>
      </c>
      <c r="C54" s="262">
        <f>IF(H53&gt;0,C53/H53,0)</f>
        <v>0</v>
      </c>
      <c r="D54" s="262">
        <f>IF(H53&gt;0,D53/H53,0)</f>
        <v>0</v>
      </c>
      <c r="E54" s="263">
        <f>IF(H53&gt;0,E53/H53,0)</f>
        <v>0</v>
      </c>
      <c r="F54" s="262">
        <f>IF(F53&gt;0,F53/H53,0)</f>
        <v>0</v>
      </c>
      <c r="G54" s="262">
        <f>IF(G53&gt;0,G53/H53,0)</f>
        <v>0</v>
      </c>
      <c r="H54" s="264">
        <f t="shared" si="5"/>
        <v>0</v>
      </c>
      <c r="K54" s="252"/>
      <c r="L54" s="262">
        <f>IF(R53&gt;0,L53/R53,0)</f>
        <v>0</v>
      </c>
      <c r="M54" s="262">
        <f>IF(R53&gt;0,M53/R53,0)</f>
        <v>0</v>
      </c>
      <c r="N54" s="262">
        <f>IF(R53&gt;0,N53/R53,0)</f>
        <v>0</v>
      </c>
      <c r="O54" s="262">
        <f>IF(R53&gt;0,O53/R53,0)</f>
        <v>0</v>
      </c>
      <c r="P54" s="262">
        <f>IF(R53&gt;0,P53/R53,0)</f>
        <v>0</v>
      </c>
      <c r="Q54" s="262">
        <f>IF(R53&gt;0,Q53/R53,0)</f>
        <v>0</v>
      </c>
      <c r="R54" s="262">
        <f t="shared" si="6"/>
        <v>0</v>
      </c>
      <c r="S54" s="218"/>
      <c r="T54" s="260" t="s">
        <v>125</v>
      </c>
      <c r="U54" s="261">
        <f>Q53+G60+M60+M62</f>
        <v>0</v>
      </c>
      <c r="V54" s="218"/>
      <c r="W54" s="218"/>
      <c r="X54" s="218"/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  <c r="AR54" s="218"/>
      <c r="AS54" s="218"/>
      <c r="AT54" s="218"/>
      <c r="AU54" s="218"/>
      <c r="AV54" s="218"/>
      <c r="AW54" s="218"/>
      <c r="AX54" s="218"/>
      <c r="AY54" s="218"/>
      <c r="AZ54" s="218"/>
      <c r="BA54" s="218"/>
      <c r="BB54" s="218"/>
      <c r="BC54" s="218"/>
      <c r="BD54" s="218"/>
      <c r="BE54" s="218"/>
      <c r="BF54" s="218"/>
      <c r="BG54" s="218"/>
      <c r="BH54" s="218"/>
      <c r="BI54" s="218"/>
      <c r="BJ54" s="218"/>
      <c r="BK54" s="218"/>
      <c r="BL54" s="218"/>
      <c r="BM54" s="218"/>
      <c r="BN54" s="218"/>
      <c r="BO54" s="218"/>
      <c r="BP54" s="218"/>
      <c r="BQ54" s="218"/>
      <c r="BR54" s="218"/>
      <c r="BS54" s="218"/>
      <c r="BT54" s="218"/>
    </row>
    <row r="55" ht="12.75" customHeight="1">
      <c r="A55" s="243" t="s">
        <v>127</v>
      </c>
      <c r="B55" s="266">
        <f>IF(H53&gt;0,(B53-G53)/H53,0)</f>
        <v>0</v>
      </c>
      <c r="C55" s="267"/>
      <c r="D55" s="268"/>
      <c r="E55" s="268"/>
      <c r="F55" s="268"/>
      <c r="G55" s="267"/>
      <c r="H55" s="218"/>
      <c r="K55" s="243" t="s">
        <v>127</v>
      </c>
      <c r="L55" s="269">
        <f>IF(R53&gt;0,(L53-Q53)/R53,0)</f>
        <v>0</v>
      </c>
      <c r="M55" s="267"/>
      <c r="N55" s="267"/>
      <c r="O55" s="267"/>
      <c r="P55" s="267"/>
      <c r="Q55" s="267"/>
      <c r="R55" s="267"/>
      <c r="T55" s="260" t="s">
        <v>130</v>
      </c>
      <c r="U55" s="261">
        <f>G53</f>
        <v>0</v>
      </c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</row>
    <row r="56" ht="12.75" customHeight="1">
      <c r="A56" s="243" t="s">
        <v>120</v>
      </c>
      <c r="B56" s="271">
        <f>IF(H53&gt;0,(B53+C53+D53)/H53,0)</f>
        <v>0</v>
      </c>
      <c r="C56" s="272"/>
      <c r="D56" s="218"/>
      <c r="E56" s="218"/>
      <c r="F56" s="218"/>
      <c r="G56" s="218"/>
      <c r="H56" s="218"/>
      <c r="K56" s="243" t="s">
        <v>120</v>
      </c>
      <c r="L56" s="244">
        <f>IF(R53&gt;0,(L53+M53+N53+O53)/R53,0)</f>
        <v>0</v>
      </c>
      <c r="M56" s="218"/>
      <c r="N56" s="218"/>
      <c r="O56" s="218"/>
      <c r="P56" s="218"/>
      <c r="Q56" s="218"/>
      <c r="R56" s="218"/>
      <c r="S56" s="218"/>
      <c r="T56" s="260" t="s">
        <v>133</v>
      </c>
      <c r="U56" s="261">
        <f>P53</f>
        <v>0</v>
      </c>
      <c r="V56" s="218"/>
      <c r="W56" s="218"/>
      <c r="X56" s="218"/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  <c r="AR56" s="218"/>
      <c r="AS56" s="218"/>
      <c r="AT56" s="218"/>
      <c r="AU56" s="218"/>
      <c r="AV56" s="218"/>
      <c r="AW56" s="218"/>
      <c r="AX56" s="218"/>
      <c r="AY56" s="218"/>
      <c r="AZ56" s="218"/>
      <c r="BA56" s="218"/>
      <c r="BB56" s="218"/>
      <c r="BC56" s="218"/>
      <c r="BD56" s="218"/>
      <c r="BE56" s="218"/>
      <c r="BF56" s="218"/>
      <c r="BG56" s="218"/>
      <c r="BH56" s="218"/>
      <c r="BI56" s="218"/>
      <c r="BJ56" s="218"/>
      <c r="BK56" s="218"/>
      <c r="BL56" s="218"/>
      <c r="BM56" s="218"/>
      <c r="BN56" s="218"/>
      <c r="BO56" s="218"/>
      <c r="BP56" s="218"/>
      <c r="BQ56" s="218"/>
      <c r="BR56" s="218"/>
      <c r="BS56" s="218"/>
      <c r="BT56" s="218"/>
    </row>
    <row r="57" ht="12.75" customHeight="1">
      <c r="A57" s="218"/>
      <c r="B57" s="276"/>
      <c r="C57" s="272"/>
      <c r="D57" s="218"/>
      <c r="E57" s="218"/>
      <c r="F57" s="218"/>
      <c r="G57" s="218"/>
      <c r="H57" s="218"/>
      <c r="T57" s="260" t="s">
        <v>137</v>
      </c>
      <c r="U57" s="277">
        <f>B55</f>
        <v>0</v>
      </c>
      <c r="V57" s="218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</row>
    <row r="58" ht="12.75" customHeight="1">
      <c r="A58" s="218"/>
      <c r="B58" s="250" t="s">
        <v>79</v>
      </c>
      <c r="C58" s="251"/>
      <c r="D58" s="251"/>
      <c r="E58" s="251"/>
      <c r="F58" s="251"/>
      <c r="G58" s="251"/>
      <c r="H58" s="218"/>
      <c r="L58" s="250" t="s">
        <v>82</v>
      </c>
      <c r="M58" s="251"/>
      <c r="T58" s="260" t="s">
        <v>141</v>
      </c>
      <c r="U58" s="277">
        <f>L55</f>
        <v>0</v>
      </c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  <c r="AR58" s="218"/>
      <c r="AS58" s="218"/>
      <c r="AT58" s="218"/>
      <c r="AU58" s="218"/>
      <c r="AV58" s="218"/>
      <c r="AW58" s="218"/>
      <c r="AX58" s="218"/>
      <c r="AY58" s="218"/>
      <c r="AZ58" s="218"/>
      <c r="BA58" s="218"/>
      <c r="BB58" s="218"/>
      <c r="BC58" s="218"/>
      <c r="BD58" s="218"/>
      <c r="BE58" s="218"/>
      <c r="BF58" s="218"/>
      <c r="BG58" s="218"/>
      <c r="BH58" s="218"/>
      <c r="BI58" s="218"/>
      <c r="BJ58" s="218"/>
      <c r="BK58" s="218"/>
      <c r="BL58" s="218"/>
      <c r="BM58" s="218"/>
      <c r="BN58" s="218"/>
      <c r="BO58" s="218"/>
      <c r="BP58" s="218"/>
      <c r="BQ58" s="218"/>
      <c r="BR58" s="218"/>
      <c r="BS58" s="218"/>
      <c r="BT58" s="218"/>
    </row>
    <row r="59" ht="12.75" customHeight="1">
      <c r="A59" s="252"/>
      <c r="B59" s="253" t="s">
        <v>48</v>
      </c>
      <c r="C59" s="253" t="s">
        <v>26</v>
      </c>
      <c r="D59" s="253" t="s">
        <v>57</v>
      </c>
      <c r="E59" s="254" t="s">
        <v>46</v>
      </c>
      <c r="F59" s="253" t="s">
        <v>75</v>
      </c>
      <c r="G59" s="253" t="s">
        <v>29</v>
      </c>
      <c r="H59" s="253" t="s">
        <v>84</v>
      </c>
      <c r="L59" s="253" t="s">
        <v>47</v>
      </c>
      <c r="M59" s="253" t="s">
        <v>93</v>
      </c>
      <c r="P59" s="218"/>
      <c r="Q59" s="218"/>
      <c r="R59" s="218"/>
      <c r="T59" s="218" t="s">
        <v>85</v>
      </c>
      <c r="U59" s="249">
        <f>U53-U54-U55</f>
        <v>0</v>
      </c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  <c r="AR59" s="218"/>
      <c r="AS59" s="218"/>
      <c r="AT59" s="218"/>
      <c r="AU59" s="218"/>
      <c r="AV59" s="218"/>
      <c r="AW59" s="218"/>
      <c r="AX59" s="218"/>
      <c r="AY59" s="218"/>
      <c r="AZ59" s="218"/>
      <c r="BA59" s="218"/>
      <c r="BB59" s="218"/>
      <c r="BC59" s="218"/>
      <c r="BD59" s="218"/>
      <c r="BE59" s="218"/>
      <c r="BF59" s="218"/>
      <c r="BG59" s="218"/>
      <c r="BH59" s="218"/>
      <c r="BI59" s="218"/>
      <c r="BJ59" s="218"/>
      <c r="BK59" s="218"/>
      <c r="BL59" s="218"/>
      <c r="BM59" s="218"/>
      <c r="BN59" s="218"/>
      <c r="BO59" s="218"/>
      <c r="BP59" s="218"/>
      <c r="BQ59" s="218"/>
      <c r="BR59" s="218"/>
      <c r="BS59" s="218"/>
      <c r="BT59" s="218"/>
    </row>
    <row r="60" ht="12.75" customHeight="1">
      <c r="A60" s="252"/>
      <c r="B60" s="255">
        <f>COUNTIF(B209:AG213,B59)</f>
        <v>0</v>
      </c>
      <c r="C60" s="255">
        <f>COUNTIF(B209:AG213,C59)</f>
        <v>0</v>
      </c>
      <c r="D60" s="255">
        <f t="shared" ref="D60:E60" si="7">COUNTIF(B209:AG213,D59)</f>
        <v>0</v>
      </c>
      <c r="E60" s="255">
        <f t="shared" si="7"/>
        <v>0</v>
      </c>
      <c r="F60" s="255">
        <f>COUNTIF(B209:AG213,F59)</f>
        <v>0</v>
      </c>
      <c r="G60" s="255">
        <f>COUNTIF(B209:AG213,G59)</f>
        <v>0</v>
      </c>
      <c r="H60" s="255">
        <f t="shared" ref="H60:H61" si="9">SUM(B60:G60)</f>
        <v>0</v>
      </c>
      <c r="L60" s="255">
        <f>COUNTIF(B209:AG213,L59)</f>
        <v>0</v>
      </c>
      <c r="M60" s="255">
        <f>COUNTIF(B209:AG213,M59)</f>
        <v>0</v>
      </c>
      <c r="O60" s="218"/>
      <c r="P60" s="218"/>
      <c r="Q60" s="218"/>
      <c r="R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  <c r="AT60" s="218"/>
      <c r="AU60" s="218"/>
      <c r="AV60" s="218"/>
      <c r="AW60" s="218"/>
      <c r="AX60" s="218"/>
      <c r="AY60" s="218"/>
      <c r="AZ60" s="218"/>
      <c r="BA60" s="218"/>
      <c r="BB60" s="218"/>
      <c r="BC60" s="218"/>
      <c r="BD60" s="218"/>
      <c r="BE60" s="218"/>
      <c r="BF60" s="218"/>
      <c r="BG60" s="218"/>
      <c r="BH60" s="218"/>
      <c r="BI60" s="218"/>
      <c r="BJ60" s="218"/>
      <c r="BK60" s="218"/>
      <c r="BL60" s="218"/>
      <c r="BM60" s="218"/>
      <c r="BN60" s="218"/>
      <c r="BO60" s="218"/>
      <c r="BP60" s="218"/>
      <c r="BQ60" s="218"/>
      <c r="BR60" s="218"/>
      <c r="BS60" s="218"/>
      <c r="BT60" s="218"/>
    </row>
    <row r="61" ht="12.75" customHeight="1">
      <c r="A61" s="252"/>
      <c r="B61" s="262">
        <f>IF(H60&gt;0,B60/H60,0)</f>
        <v>0</v>
      </c>
      <c r="C61" s="262">
        <f>IF(H60&gt;0,C60/H60,0)</f>
        <v>0</v>
      </c>
      <c r="D61" s="262">
        <f t="shared" ref="D61:E61" si="8">IF(H60&gt;0,D60/H60,0)</f>
        <v>0</v>
      </c>
      <c r="E61" s="262">
        <f t="shared" si="8"/>
        <v>0</v>
      </c>
      <c r="F61" s="262">
        <f>IF(H60&gt;0,F60/H60,0)</f>
        <v>0</v>
      </c>
      <c r="G61" s="262">
        <f>IF(H60&gt;0,G60/H60,0)</f>
        <v>0</v>
      </c>
      <c r="H61" s="262">
        <f t="shared" si="9"/>
        <v>0</v>
      </c>
      <c r="O61" s="218"/>
      <c r="P61" s="218"/>
      <c r="Q61" s="218"/>
      <c r="R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  <c r="AU61" s="218"/>
      <c r="AV61" s="218"/>
      <c r="AW61" s="218"/>
      <c r="AX61" s="218"/>
      <c r="AY61" s="218"/>
      <c r="AZ61" s="218"/>
      <c r="BA61" s="218"/>
      <c r="BB61" s="218"/>
      <c r="BC61" s="218"/>
      <c r="BD61" s="218"/>
      <c r="BE61" s="218"/>
      <c r="BF61" s="218"/>
      <c r="BG61" s="218"/>
      <c r="BH61" s="218"/>
      <c r="BI61" s="218"/>
      <c r="BJ61" s="218"/>
      <c r="BK61" s="218"/>
      <c r="BL61" s="218"/>
      <c r="BM61" s="218"/>
      <c r="BN61" s="218"/>
      <c r="BO61" s="218"/>
      <c r="BP61" s="218"/>
      <c r="BQ61" s="218"/>
      <c r="BR61" s="218"/>
      <c r="BS61" s="218"/>
      <c r="BT61" s="218"/>
    </row>
    <row r="62" ht="12.75" customHeight="1">
      <c r="A62" s="243" t="s">
        <v>127</v>
      </c>
      <c r="B62" s="266">
        <f>IF(H60&gt;0,(B60-G60)/H60,0)</f>
        <v>0</v>
      </c>
      <c r="C62" s="267"/>
      <c r="D62" s="267"/>
      <c r="E62" s="267"/>
      <c r="F62" s="267"/>
      <c r="G62" s="267"/>
      <c r="H62" s="218"/>
      <c r="L62" s="284" t="s">
        <v>61</v>
      </c>
      <c r="M62" s="285">
        <f>COUNTIF(B209:AG213,L62)</f>
        <v>0</v>
      </c>
      <c r="O62" s="218"/>
      <c r="P62" s="218"/>
      <c r="Q62" s="218"/>
      <c r="R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  <c r="AT62" s="218"/>
      <c r="AU62" s="218"/>
      <c r="AV62" s="218"/>
      <c r="AW62" s="218"/>
      <c r="AX62" s="218"/>
      <c r="AY62" s="218"/>
      <c r="AZ62" s="218"/>
      <c r="BA62" s="218"/>
      <c r="BB62" s="218"/>
      <c r="BC62" s="218"/>
      <c r="BD62" s="218"/>
      <c r="BE62" s="218"/>
      <c r="BF62" s="218"/>
      <c r="BG62" s="218"/>
      <c r="BH62" s="218"/>
      <c r="BI62" s="218"/>
      <c r="BJ62" s="218"/>
      <c r="BK62" s="218"/>
      <c r="BL62" s="218"/>
      <c r="BM62" s="218"/>
      <c r="BN62" s="218"/>
      <c r="BO62" s="218"/>
      <c r="BP62" s="218"/>
      <c r="BQ62" s="218"/>
      <c r="BR62" s="218"/>
      <c r="BS62" s="218"/>
      <c r="BT62" s="218"/>
    </row>
    <row r="63">
      <c r="A63" s="243" t="s">
        <v>171</v>
      </c>
      <c r="B63" s="271">
        <f>IF(H60&gt;0,(B60+C60)/H60,0)</f>
        <v>0</v>
      </c>
      <c r="C63" s="218"/>
      <c r="D63" s="218"/>
      <c r="E63" s="218"/>
      <c r="F63" s="218"/>
      <c r="G63" s="218"/>
      <c r="H63" s="218"/>
    </row>
    <row r="64">
      <c r="A64" s="247"/>
      <c r="B64" s="276"/>
      <c r="C64" s="218"/>
      <c r="D64" s="218"/>
      <c r="E64" s="218"/>
      <c r="F64" s="218"/>
      <c r="G64" s="218"/>
      <c r="H64" s="218"/>
    </row>
    <row r="65">
      <c r="A65" s="286"/>
      <c r="B65" s="287" t="s">
        <v>179</v>
      </c>
      <c r="C65" s="288"/>
      <c r="D65" s="288"/>
      <c r="E65" s="288"/>
      <c r="F65" s="288"/>
      <c r="G65" s="288"/>
      <c r="H65" s="288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</row>
    <row r="66">
      <c r="A66" s="290"/>
      <c r="B66" s="291" t="s">
        <v>183</v>
      </c>
      <c r="C66" s="292" t="s">
        <v>184</v>
      </c>
      <c r="D66" s="293" t="s">
        <v>186</v>
      </c>
      <c r="E66" s="294" t="s">
        <v>187</v>
      </c>
      <c r="F66" s="293" t="s">
        <v>188</v>
      </c>
      <c r="G66" s="293" t="s">
        <v>189</v>
      </c>
      <c r="H66" s="293" t="s">
        <v>84</v>
      </c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</row>
    <row r="67">
      <c r="A67" s="290"/>
      <c r="B67" s="295">
        <f>COUNTIF(B215:AG219,B66)</f>
        <v>0</v>
      </c>
      <c r="C67" s="295">
        <f>COUNTIF(B215:AG219,C66)</f>
        <v>0</v>
      </c>
      <c r="D67" s="295">
        <f t="shared" ref="D67:E67" si="10">COUNTIF(B215:AG219,D66)</f>
        <v>0</v>
      </c>
      <c r="E67" s="295">
        <f t="shared" si="10"/>
        <v>0</v>
      </c>
      <c r="F67" s="295">
        <f>COUNTIF(B215:AG219,F66)</f>
        <v>0</v>
      </c>
      <c r="G67" s="295">
        <f>COUNTIF(B215:AG219,G66)</f>
        <v>0</v>
      </c>
      <c r="H67" s="295">
        <f t="shared" ref="H67:H68" si="12">SUM(B67:G67)</f>
        <v>0</v>
      </c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</row>
    <row r="68">
      <c r="A68" s="296"/>
      <c r="B68" s="297">
        <f>IF(H67&gt;0,B67/H67,0)</f>
        <v>0</v>
      </c>
      <c r="C68" s="297">
        <f>IF(H67&gt;0,C67/H67,0)</f>
        <v>0</v>
      </c>
      <c r="D68" s="297">
        <f t="shared" ref="D68:E68" si="11">IF(H67&gt;0,D67/H67,0)</f>
        <v>0</v>
      </c>
      <c r="E68" s="297">
        <f t="shared" si="11"/>
        <v>0</v>
      </c>
      <c r="F68" s="297">
        <f>IF(H67&gt;0,F67/H67,0)</f>
        <v>0</v>
      </c>
      <c r="G68" s="297">
        <f>IF(H67&gt;0,G67/H67,0)</f>
        <v>0</v>
      </c>
      <c r="H68" s="297">
        <f t="shared" si="12"/>
        <v>0</v>
      </c>
      <c r="I68" s="289"/>
      <c r="J68" s="298"/>
      <c r="K68" s="298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</row>
    <row r="69">
      <c r="J69" s="218"/>
      <c r="K69" s="218"/>
    </row>
    <row r="70">
      <c r="J70" s="218"/>
      <c r="K70" s="218"/>
    </row>
    <row r="71">
      <c r="A71" s="224" t="s">
        <v>199</v>
      </c>
      <c r="B71" s="225"/>
      <c r="C71" s="218"/>
      <c r="D71" s="218"/>
      <c r="E71" s="218"/>
      <c r="F71" s="218"/>
      <c r="G71" s="218"/>
      <c r="H71" s="218"/>
      <c r="I71" s="225"/>
      <c r="J71" s="225"/>
      <c r="K71" s="225"/>
      <c r="L71" s="218"/>
      <c r="N71" s="224" t="s">
        <v>200</v>
      </c>
      <c r="O71" s="250" t="s">
        <v>80</v>
      </c>
      <c r="P71" s="251"/>
      <c r="Q71" s="251"/>
      <c r="R71" s="251"/>
      <c r="S71" s="251"/>
      <c r="T71" s="251"/>
      <c r="U71" s="218"/>
      <c r="W71" s="250" t="s">
        <v>82</v>
      </c>
      <c r="X71" s="251"/>
    </row>
    <row r="72">
      <c r="A72" s="218"/>
      <c r="B72" s="250" t="s">
        <v>80</v>
      </c>
      <c r="C72" s="251"/>
      <c r="D72" s="251"/>
      <c r="E72" s="251"/>
      <c r="F72" s="251"/>
      <c r="G72" s="251"/>
      <c r="H72" s="218"/>
      <c r="I72" s="225"/>
      <c r="J72" s="225"/>
      <c r="K72" s="225" t="s">
        <v>82</v>
      </c>
      <c r="L72" s="218"/>
      <c r="N72" s="252"/>
      <c r="O72" s="253" t="s">
        <v>31</v>
      </c>
      <c r="P72" s="253" t="s">
        <v>70</v>
      </c>
      <c r="Q72" s="253" t="s">
        <v>32</v>
      </c>
      <c r="R72" s="254" t="s">
        <v>68</v>
      </c>
      <c r="S72" s="253" t="s">
        <v>73</v>
      </c>
      <c r="T72" s="253" t="s">
        <v>71</v>
      </c>
      <c r="U72" s="253" t="s">
        <v>84</v>
      </c>
      <c r="W72" s="253" t="s">
        <v>47</v>
      </c>
      <c r="X72" s="253" t="s">
        <v>93</v>
      </c>
    </row>
    <row r="73">
      <c r="A73" s="252"/>
      <c r="B73" s="253" t="s">
        <v>31</v>
      </c>
      <c r="C73" s="253" t="s">
        <v>70</v>
      </c>
      <c r="D73" s="253" t="s">
        <v>32</v>
      </c>
      <c r="E73" s="253" t="s">
        <v>68</v>
      </c>
      <c r="F73" s="253" t="s">
        <v>73</v>
      </c>
      <c r="G73" s="300" t="s">
        <v>71</v>
      </c>
      <c r="H73" s="253" t="s">
        <v>84</v>
      </c>
      <c r="I73" s="301"/>
      <c r="J73" s="301"/>
      <c r="K73" s="301" t="s">
        <v>47</v>
      </c>
      <c r="L73" s="301" t="s">
        <v>93</v>
      </c>
      <c r="N73" s="252"/>
      <c r="O73" s="255">
        <f>COUNTIF(B210:AG210,O72)</f>
        <v>0</v>
      </c>
      <c r="P73" s="255">
        <f>COUNTIF(B210:AG210,P72)</f>
        <v>0</v>
      </c>
      <c r="Q73" s="255">
        <f t="shared" ref="Q73:R73" si="13">COUNTIF(B210:AG210,Q72)</f>
        <v>0</v>
      </c>
      <c r="R73" s="255">
        <f t="shared" si="13"/>
        <v>0</v>
      </c>
      <c r="S73" s="255">
        <f>COUNTIF(B210:AG210,S72)</f>
        <v>0</v>
      </c>
      <c r="T73" s="255">
        <f>COUNTIF(B210:AG210,T72)</f>
        <v>0</v>
      </c>
      <c r="U73" s="255">
        <f t="shared" ref="U73:U74" si="16">SUM(O73:T73)</f>
        <v>0</v>
      </c>
      <c r="W73" s="255">
        <f>COUNTIF(B210:AG210,W72)</f>
        <v>0</v>
      </c>
      <c r="X73" s="255">
        <f>COUNTIF(B210:AG210,X72)</f>
        <v>0</v>
      </c>
    </row>
    <row r="74">
      <c r="A74" s="252"/>
      <c r="B74" s="255">
        <f>COUNTIF(B209:AG209,B73)</f>
        <v>0</v>
      </c>
      <c r="C74" s="255">
        <f>COUNTIF(B209:AG209,C73)</f>
        <v>0</v>
      </c>
      <c r="D74" s="255">
        <f t="shared" ref="D74:E74" si="14">COUNTIF(B209:AG209,D73)</f>
        <v>0</v>
      </c>
      <c r="E74" s="255">
        <f t="shared" si="14"/>
        <v>0</v>
      </c>
      <c r="F74" s="255">
        <f>COUNTIF(B209:AG209,F73)</f>
        <v>0</v>
      </c>
      <c r="G74" s="256">
        <f>COUNTIF(B209:AG209,G73)</f>
        <v>0</v>
      </c>
      <c r="H74" s="255">
        <f t="shared" ref="H74:H75" si="18">SUM(B74:G74)</f>
        <v>0</v>
      </c>
      <c r="I74" s="302"/>
      <c r="J74" s="302"/>
      <c r="K74" s="302">
        <f>COUNTIF(B209:AG209,K73)</f>
        <v>0</v>
      </c>
      <c r="L74" s="302">
        <f>COUNTIF(B209:AG209,L73)</f>
        <v>0</v>
      </c>
      <c r="N74" s="252"/>
      <c r="O74" s="262">
        <f>IF(U73&gt;0,O73/U73,0)</f>
        <v>0</v>
      </c>
      <c r="P74" s="262">
        <f>IF(U73&gt;0,P73/U73,0)</f>
        <v>0</v>
      </c>
      <c r="Q74" s="262">
        <f t="shared" ref="Q74:R74" si="15">IF(U73&gt;0,Q73/U73,0)</f>
        <v>0</v>
      </c>
      <c r="R74" s="262">
        <f t="shared" si="15"/>
        <v>0</v>
      </c>
      <c r="S74" s="262">
        <f>IF(U73&gt;0,S73/U73,0)</f>
        <v>0</v>
      </c>
      <c r="T74" s="262">
        <f>IF(U73&gt;0,T73/U73,0)</f>
        <v>0</v>
      </c>
      <c r="U74" s="264">
        <f t="shared" si="16"/>
        <v>0</v>
      </c>
      <c r="W74" s="267"/>
      <c r="X74" s="267"/>
    </row>
    <row r="75">
      <c r="A75" s="252"/>
      <c r="B75" s="262">
        <f>IF(H74&gt;0,B74/H74,0)</f>
        <v>0</v>
      </c>
      <c r="C75" s="262">
        <f>IF(H74&gt;0,C74/H74,0)</f>
        <v>0</v>
      </c>
      <c r="D75" s="262">
        <f t="shared" ref="D75:E75" si="17">IF(H74&gt;0,D74/H74,0)</f>
        <v>0</v>
      </c>
      <c r="E75" s="262">
        <f t="shared" si="17"/>
        <v>0</v>
      </c>
      <c r="F75" s="262">
        <f>IF(H74&gt;0,F74/H74,0)</f>
        <v>0</v>
      </c>
      <c r="G75" s="303">
        <f>IF(H74&gt;0,G74/H74,0)</f>
        <v>0</v>
      </c>
      <c r="H75" s="264">
        <f t="shared" si="18"/>
        <v>0</v>
      </c>
      <c r="I75" s="218"/>
      <c r="J75" s="218"/>
      <c r="K75" s="218"/>
      <c r="L75" s="218"/>
      <c r="N75" s="243" t="s">
        <v>127</v>
      </c>
      <c r="O75" s="266">
        <f>IF(U73&gt;0,(O73-T73)/U73,0)</f>
        <v>0</v>
      </c>
      <c r="P75" s="267"/>
      <c r="Q75" s="268"/>
      <c r="R75" s="268"/>
      <c r="S75" s="268"/>
      <c r="T75" s="267"/>
      <c r="U75" s="218"/>
      <c r="W75" s="218"/>
      <c r="X75" s="218"/>
    </row>
    <row r="76">
      <c r="A76" s="243" t="s">
        <v>127</v>
      </c>
      <c r="B76" s="266">
        <f>IF(H74&gt;0,(B74-G74)/H74,0)</f>
        <v>0</v>
      </c>
      <c r="C76" s="267"/>
      <c r="D76" s="268"/>
      <c r="E76" s="268"/>
      <c r="F76" s="268"/>
      <c r="G76" s="267"/>
      <c r="H76" s="218"/>
      <c r="I76" s="218"/>
      <c r="J76" s="218"/>
      <c r="K76" s="218"/>
      <c r="L76" s="218"/>
      <c r="N76" s="243" t="s">
        <v>120</v>
      </c>
      <c r="O76" s="271">
        <f>IF(U73&gt;0,(O73+P73+Q73)/U73,0)</f>
        <v>0</v>
      </c>
      <c r="P76" s="272"/>
      <c r="Q76" s="218"/>
      <c r="R76" s="218"/>
      <c r="S76" s="218"/>
      <c r="T76" s="218"/>
      <c r="U76" s="218"/>
      <c r="W76" s="218"/>
      <c r="X76" s="218"/>
    </row>
    <row r="77">
      <c r="A77" s="243" t="s">
        <v>120</v>
      </c>
      <c r="B77" s="271">
        <f>IF(H74&gt;0,(B74+C74+D74)/H74,0)</f>
        <v>0</v>
      </c>
      <c r="C77" s="272"/>
      <c r="D77" s="218"/>
      <c r="E77" s="218"/>
      <c r="F77" s="218"/>
      <c r="G77" s="218"/>
      <c r="H77" s="218"/>
      <c r="I77" s="218"/>
      <c r="J77" s="218"/>
      <c r="K77" s="218"/>
      <c r="L77" s="218"/>
      <c r="O77" s="276"/>
      <c r="P77" s="272"/>
      <c r="Q77" s="218"/>
      <c r="R77" s="218"/>
      <c r="S77" s="218"/>
      <c r="T77" s="218"/>
      <c r="U77" s="218"/>
      <c r="W77" s="225" t="s">
        <v>124</v>
      </c>
      <c r="X77" s="218"/>
    </row>
    <row r="78">
      <c r="A78" s="218"/>
      <c r="B78" s="276"/>
      <c r="C78" s="272"/>
      <c r="D78" s="218"/>
      <c r="E78" s="218"/>
      <c r="F78" s="218"/>
      <c r="G78" s="218"/>
      <c r="H78" s="218"/>
      <c r="I78" s="225"/>
      <c r="J78" s="225"/>
      <c r="K78" s="225" t="s">
        <v>124</v>
      </c>
      <c r="L78" s="218"/>
      <c r="N78" s="218"/>
      <c r="O78" s="250" t="s">
        <v>79</v>
      </c>
      <c r="P78" s="251"/>
      <c r="Q78" s="251"/>
      <c r="R78" s="251"/>
      <c r="S78" s="251"/>
      <c r="T78" s="251"/>
      <c r="U78" s="218"/>
      <c r="W78" s="260" t="s">
        <v>78</v>
      </c>
      <c r="X78" s="261">
        <f>O80+O87+W73</f>
        <v>0</v>
      </c>
    </row>
    <row r="79">
      <c r="A79" s="218"/>
      <c r="B79" s="250" t="s">
        <v>79</v>
      </c>
      <c r="C79" s="251"/>
      <c r="D79" s="251"/>
      <c r="E79" s="251"/>
      <c r="F79" s="251"/>
      <c r="G79" s="251"/>
      <c r="H79" s="218"/>
      <c r="I79" s="260"/>
      <c r="J79" s="260"/>
      <c r="K79" s="260" t="s">
        <v>78</v>
      </c>
      <c r="L79" s="261">
        <f>B81+B88+K74</f>
        <v>0</v>
      </c>
      <c r="N79" s="252"/>
      <c r="O79" s="253" t="s">
        <v>48</v>
      </c>
      <c r="P79" s="253" t="s">
        <v>26</v>
      </c>
      <c r="Q79" s="253" t="s">
        <v>57</v>
      </c>
      <c r="R79" s="254" t="s">
        <v>46</v>
      </c>
      <c r="S79" s="253" t="s">
        <v>75</v>
      </c>
      <c r="T79" s="253" t="s">
        <v>29</v>
      </c>
      <c r="U79" s="253" t="s">
        <v>84</v>
      </c>
      <c r="W79" s="260" t="s">
        <v>125</v>
      </c>
      <c r="X79" s="261">
        <f>T87+T80</f>
        <v>0</v>
      </c>
    </row>
    <row r="80">
      <c r="A80" s="252"/>
      <c r="B80" s="253" t="s">
        <v>48</v>
      </c>
      <c r="C80" s="253" t="s">
        <v>26</v>
      </c>
      <c r="D80" s="253" t="s">
        <v>57</v>
      </c>
      <c r="E80" s="253" t="s">
        <v>46</v>
      </c>
      <c r="F80" s="253" t="s">
        <v>75</v>
      </c>
      <c r="G80" s="253" t="s">
        <v>29</v>
      </c>
      <c r="H80" s="253" t="s">
        <v>84</v>
      </c>
      <c r="I80" s="260"/>
      <c r="J80" s="260"/>
      <c r="K80" s="260" t="s">
        <v>125</v>
      </c>
      <c r="L80" s="261">
        <f>G88+G81</f>
        <v>0</v>
      </c>
      <c r="N80" s="252"/>
      <c r="O80" s="255">
        <f>COUNTIF(B210:AG210,O79)</f>
        <v>0</v>
      </c>
      <c r="P80" s="255">
        <f>COUNTIF(B210:AG210,P79)</f>
        <v>0</v>
      </c>
      <c r="Q80" s="255">
        <f>COUNTIF(B210:AG210,Q79)</f>
        <v>0</v>
      </c>
      <c r="R80" s="255">
        <f t="shared" ref="R80:S80" si="19">COUNTIF(B210:AG210,R79)</f>
        <v>0</v>
      </c>
      <c r="S80" s="255">
        <f t="shared" si="19"/>
        <v>0</v>
      </c>
      <c r="T80" s="255">
        <f>COUNTIF(B210:AG210,T79)</f>
        <v>0</v>
      </c>
      <c r="U80" s="255">
        <f t="shared" ref="U80:U81" si="22">SUM(O80:T80)</f>
        <v>0</v>
      </c>
      <c r="W80" s="260" t="s">
        <v>130</v>
      </c>
      <c r="X80" s="261">
        <f>T73</f>
        <v>0</v>
      </c>
    </row>
    <row r="81">
      <c r="A81" s="252"/>
      <c r="B81" s="255">
        <f>COUNTIF(B209:AG209,B80)</f>
        <v>0</v>
      </c>
      <c r="C81" s="255">
        <f>COUNTIF(B209:AG209,C80)</f>
        <v>0</v>
      </c>
      <c r="D81" s="255">
        <f t="shared" ref="D81:E81" si="20">COUNTIF(B209:AG209,D80)</f>
        <v>0</v>
      </c>
      <c r="E81" s="255">
        <f t="shared" si="20"/>
        <v>0</v>
      </c>
      <c r="F81" s="255">
        <f>COUNTIF(B209:AG209,F80)</f>
        <v>0</v>
      </c>
      <c r="G81" s="255">
        <f>COUNTIF(B209:AG209,G80)</f>
        <v>0</v>
      </c>
      <c r="H81" s="255">
        <f t="shared" ref="H81:H82" si="24">SUM(B81:G81)</f>
        <v>0</v>
      </c>
      <c r="I81" s="260"/>
      <c r="J81" s="260"/>
      <c r="K81" s="260" t="s">
        <v>130</v>
      </c>
      <c r="L81" s="261">
        <f>G74</f>
        <v>0</v>
      </c>
      <c r="O81" s="262">
        <f t="shared" ref="O81:T81" si="21">IF($U$80&gt;0,O80/$U$80,0)</f>
        <v>0</v>
      </c>
      <c r="P81" s="262">
        <f t="shared" si="21"/>
        <v>0</v>
      </c>
      <c r="Q81" s="262">
        <f t="shared" si="21"/>
        <v>0</v>
      </c>
      <c r="R81" s="262">
        <f t="shared" si="21"/>
        <v>0</v>
      </c>
      <c r="S81" s="262">
        <f t="shared" si="21"/>
        <v>0</v>
      </c>
      <c r="T81" s="262">
        <f t="shared" si="21"/>
        <v>0</v>
      </c>
      <c r="U81" s="262">
        <f t="shared" si="22"/>
        <v>0</v>
      </c>
      <c r="W81" s="260" t="s">
        <v>137</v>
      </c>
      <c r="X81" s="277">
        <f>O75</f>
        <v>0</v>
      </c>
    </row>
    <row r="82">
      <c r="A82" s="252"/>
      <c r="B82" s="262">
        <f>IF(H81&gt;0,B81/H81,0)</f>
        <v>0</v>
      </c>
      <c r="C82" s="262">
        <f>IF(G71&gt;0,C81/H81,0)</f>
        <v>0</v>
      </c>
      <c r="D82" s="262">
        <f t="shared" ref="D82:E82" si="23">IF(H81&gt;0,D81/H81,0)</f>
        <v>0</v>
      </c>
      <c r="E82" s="262">
        <f t="shared" si="23"/>
        <v>0</v>
      </c>
      <c r="F82" s="262">
        <f>IF(G71&gt;0,F81/H81,0)</f>
        <v>0</v>
      </c>
      <c r="G82" s="262">
        <f>IF(G71&gt;0,G81/H81,0)</f>
        <v>0</v>
      </c>
      <c r="H82" s="262">
        <f t="shared" si="24"/>
        <v>0</v>
      </c>
      <c r="I82" s="260"/>
      <c r="J82" s="260"/>
      <c r="K82" s="260" t="s">
        <v>133</v>
      </c>
      <c r="L82" s="261">
        <f>F88</f>
        <v>0</v>
      </c>
      <c r="N82" s="243" t="s">
        <v>127</v>
      </c>
      <c r="O82" s="266">
        <f>IF(U80&gt;0,(O80-T80)/U80,0)</f>
        <v>0</v>
      </c>
      <c r="P82" s="267"/>
      <c r="Q82" s="267"/>
      <c r="R82" s="267"/>
      <c r="S82" s="267"/>
      <c r="T82" s="267"/>
      <c r="U82" s="218"/>
      <c r="W82" s="260" t="s">
        <v>141</v>
      </c>
      <c r="X82" s="277">
        <f>O89</f>
        <v>0</v>
      </c>
    </row>
    <row r="83">
      <c r="A83" s="243" t="s">
        <v>127</v>
      </c>
      <c r="B83" s="266">
        <f>IF(H81&gt;0,(B81-G81)/H81,0)</f>
        <v>0</v>
      </c>
      <c r="C83" s="267"/>
      <c r="D83" s="267"/>
      <c r="E83" s="267"/>
      <c r="F83" s="267"/>
      <c r="G83" s="267"/>
      <c r="H83" s="218"/>
      <c r="I83" s="260"/>
      <c r="J83" s="260"/>
      <c r="K83" s="260" t="s">
        <v>137</v>
      </c>
      <c r="L83" s="277">
        <f>B76</f>
        <v>0</v>
      </c>
      <c r="N83" s="243" t="s">
        <v>120</v>
      </c>
      <c r="O83" s="271">
        <f>IF(U80&gt;0,(O80+P80)/U80,0)</f>
        <v>0</v>
      </c>
      <c r="P83" s="218"/>
      <c r="Q83" s="218"/>
      <c r="R83" s="218"/>
      <c r="S83" s="218"/>
      <c r="T83" s="218"/>
      <c r="U83" s="218"/>
      <c r="V83" s="260" t="s">
        <v>133</v>
      </c>
      <c r="W83" s="261">
        <f>S87</f>
        <v>0</v>
      </c>
    </row>
    <row r="84">
      <c r="A84" s="243" t="s">
        <v>120</v>
      </c>
      <c r="B84" s="271">
        <f>IF(H81&gt;0,(B81+C81)/H81,0)</f>
        <v>0</v>
      </c>
      <c r="C84" s="218"/>
      <c r="D84" s="218"/>
      <c r="E84" s="218"/>
      <c r="F84" s="218"/>
      <c r="G84" s="218"/>
      <c r="H84" s="218"/>
      <c r="I84" s="260"/>
      <c r="J84" s="260"/>
      <c r="K84" s="260" t="s">
        <v>141</v>
      </c>
      <c r="L84" s="277">
        <f>B90</f>
        <v>0</v>
      </c>
      <c r="N84" s="218"/>
      <c r="O84" s="276"/>
      <c r="P84" s="218"/>
      <c r="Q84" s="218"/>
      <c r="R84" s="218"/>
      <c r="S84" s="218"/>
      <c r="T84" s="218"/>
      <c r="U84" s="218"/>
      <c r="X84" s="218"/>
    </row>
    <row r="85">
      <c r="A85" s="218"/>
      <c r="B85" s="276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O85" s="250" t="s">
        <v>81</v>
      </c>
      <c r="P85" s="251"/>
      <c r="Q85" s="251"/>
      <c r="R85" s="251"/>
      <c r="S85" s="251"/>
      <c r="T85" s="251"/>
      <c r="U85" s="251"/>
      <c r="W85" s="218"/>
      <c r="X85" s="218"/>
    </row>
    <row r="86">
      <c r="A86" s="218"/>
      <c r="B86" s="250" t="s">
        <v>81</v>
      </c>
      <c r="C86" s="251"/>
      <c r="D86" s="251"/>
      <c r="E86" s="251"/>
      <c r="F86" s="251"/>
      <c r="G86" s="251"/>
      <c r="H86" s="251"/>
      <c r="I86" s="218"/>
      <c r="J86" s="218"/>
      <c r="K86" s="218"/>
      <c r="L86" s="218"/>
      <c r="N86" s="252"/>
      <c r="O86" s="253" t="s">
        <v>28</v>
      </c>
      <c r="P86" s="253" t="s">
        <v>51</v>
      </c>
      <c r="Q86" s="253" t="s">
        <v>74</v>
      </c>
      <c r="R86" s="253" t="s">
        <v>69</v>
      </c>
      <c r="S86" s="253" t="s">
        <v>76</v>
      </c>
      <c r="T86" s="253" t="s">
        <v>54</v>
      </c>
      <c r="U86" s="253" t="s">
        <v>84</v>
      </c>
      <c r="W86" s="218"/>
      <c r="X86" s="218"/>
    </row>
    <row r="87">
      <c r="A87" s="252"/>
      <c r="B87" s="253" t="s">
        <v>28</v>
      </c>
      <c r="C87" s="253" t="s">
        <v>51</v>
      </c>
      <c r="D87" s="253" t="s">
        <v>74</v>
      </c>
      <c r="E87" s="253" t="s">
        <v>69</v>
      </c>
      <c r="F87" s="253" t="s">
        <v>76</v>
      </c>
      <c r="G87" s="253" t="s">
        <v>54</v>
      </c>
      <c r="H87" s="253" t="s">
        <v>84</v>
      </c>
      <c r="I87" s="218"/>
      <c r="J87" s="218"/>
      <c r="K87" s="218"/>
      <c r="L87" s="218"/>
      <c r="N87" s="252"/>
      <c r="O87" s="255">
        <f>COUNTIF(B210:AG210,O86)</f>
        <v>0</v>
      </c>
      <c r="P87" s="255">
        <f>COUNTIF(B210:AG210,P86)</f>
        <v>0</v>
      </c>
      <c r="Q87" s="255">
        <f>COUNTIF(B210:AG210,Q86)</f>
        <v>0</v>
      </c>
      <c r="R87" s="255">
        <f>COUNTIF(B210:AG210,R86)</f>
        <v>0</v>
      </c>
      <c r="S87" s="255">
        <f>COUNTIF(B210:AG210,S86)</f>
        <v>0</v>
      </c>
      <c r="T87" s="255">
        <f>COUNTIF(B210:AG210,T86)</f>
        <v>0</v>
      </c>
      <c r="U87" s="255">
        <f t="shared" ref="U87:U88" si="25">SUM(O87:T87)</f>
        <v>0</v>
      </c>
      <c r="W87" s="218"/>
      <c r="X87" s="218"/>
    </row>
    <row r="88" ht="12.75" customHeight="1">
      <c r="A88" s="252"/>
      <c r="B88" s="255">
        <f>COUNTIF(B209:AG209,B87)</f>
        <v>0</v>
      </c>
      <c r="C88" s="255">
        <f>COUNTIF(B209:AG209,C87)</f>
        <v>0</v>
      </c>
      <c r="D88" s="255">
        <f>COUNTIF(B209:AG209,D87)</f>
        <v>0</v>
      </c>
      <c r="E88" s="255">
        <f>COUNTIF(B209:AG209,E87)</f>
        <v>0</v>
      </c>
      <c r="F88" s="255">
        <f>COUNTIF(B209:AG209,F87)</f>
        <v>0</v>
      </c>
      <c r="G88" s="255">
        <f>COUNTIF(B209:AG209,G87)</f>
        <v>0</v>
      </c>
      <c r="H88" s="255">
        <f t="shared" ref="H88:H89" si="26">SUM(B88:G88)</f>
        <v>0</v>
      </c>
      <c r="I88" s="218"/>
      <c r="J88" s="218"/>
      <c r="K88" s="218"/>
      <c r="L88" s="218"/>
      <c r="N88" s="252"/>
      <c r="O88" s="262">
        <f>IF(U87&gt;0,O87/U87,0)</f>
        <v>0</v>
      </c>
      <c r="P88" s="262">
        <f>IF(U87&gt;0,P87/U87,0)</f>
        <v>0</v>
      </c>
      <c r="Q88" s="262">
        <f>IF(U87&gt;0,Q87/U87,0)</f>
        <v>0</v>
      </c>
      <c r="R88" s="262">
        <f>IF(U87&gt;0,R87/U87,0)</f>
        <v>0</v>
      </c>
      <c r="S88" s="262">
        <f>IF(U87&gt;0,S87/U87,0)</f>
        <v>0</v>
      </c>
      <c r="T88" s="262">
        <f>IF(U87&gt;0,T87/U87,0)</f>
        <v>0</v>
      </c>
      <c r="U88" s="262">
        <f t="shared" si="25"/>
        <v>0</v>
      </c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  <c r="BB88" s="218"/>
      <c r="BC88" s="218"/>
      <c r="BD88" s="218"/>
      <c r="BE88" s="218"/>
      <c r="BF88" s="218"/>
      <c r="BG88" s="218"/>
      <c r="BH88" s="218"/>
      <c r="BI88" s="218"/>
      <c r="BJ88" s="218"/>
      <c r="BK88" s="218"/>
      <c r="BL88" s="218"/>
      <c r="BM88" s="218"/>
      <c r="BN88" s="218"/>
      <c r="BO88" s="218"/>
      <c r="BP88" s="218"/>
      <c r="BQ88" s="218"/>
      <c r="BR88" s="218"/>
      <c r="BS88" s="218"/>
      <c r="BT88" s="218"/>
    </row>
    <row r="89" ht="12.75" customHeight="1">
      <c r="A89" s="252"/>
      <c r="B89" s="262">
        <f>IF(H88&gt;0,B88/H88,0)</f>
        <v>0</v>
      </c>
      <c r="C89" s="262">
        <f>IF(H88&gt;0,C88/H88,0)</f>
        <v>0</v>
      </c>
      <c r="D89" s="262">
        <f>IF(H88&gt;0,D88/H88,0)</f>
        <v>0</v>
      </c>
      <c r="E89" s="262">
        <f>IF(H88&gt;0,E88/H88,0)</f>
        <v>0</v>
      </c>
      <c r="F89" s="262">
        <f>IF(H88&gt;0,F88/H88,0)</f>
        <v>0</v>
      </c>
      <c r="G89" s="262">
        <f>IF(H88&gt;0,G88/H88,0)</f>
        <v>0</v>
      </c>
      <c r="H89" s="262">
        <f t="shared" si="26"/>
        <v>0</v>
      </c>
      <c r="I89" s="218"/>
      <c r="J89" s="218"/>
      <c r="K89" s="218"/>
      <c r="L89" s="218"/>
      <c r="N89" s="243" t="s">
        <v>127</v>
      </c>
      <c r="O89" s="269">
        <f>IF(U87&gt;0,(O87-T87)/U87,0)</f>
        <v>0</v>
      </c>
      <c r="P89" s="267"/>
      <c r="Q89" s="267"/>
      <c r="R89" s="267"/>
      <c r="S89" s="267"/>
      <c r="T89" s="267"/>
      <c r="U89" s="267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  <c r="BB89" s="218"/>
      <c r="BC89" s="218"/>
      <c r="BD89" s="218"/>
      <c r="BE89" s="218"/>
      <c r="BF89" s="218"/>
      <c r="BG89" s="218"/>
      <c r="BH89" s="218"/>
      <c r="BI89" s="218"/>
      <c r="BJ89" s="218"/>
      <c r="BK89" s="218"/>
      <c r="BL89" s="218"/>
      <c r="BM89" s="218"/>
      <c r="BN89" s="218"/>
      <c r="BO89" s="218"/>
      <c r="BP89" s="218"/>
      <c r="BQ89" s="218"/>
      <c r="BR89" s="218"/>
      <c r="BS89" s="218"/>
      <c r="BT89" s="218"/>
    </row>
    <row r="90" ht="12.75" customHeight="1">
      <c r="A90" s="243" t="s">
        <v>127</v>
      </c>
      <c r="B90" s="269">
        <f>IF(H88&gt;0,(B88-G88)/H88,0)</f>
        <v>0</v>
      </c>
      <c r="C90" s="267"/>
      <c r="D90" s="267"/>
      <c r="E90" s="267"/>
      <c r="F90" s="267"/>
      <c r="G90" s="267"/>
      <c r="H90" s="267"/>
      <c r="I90" s="218"/>
      <c r="J90" s="218"/>
      <c r="K90" s="218"/>
      <c r="L90" s="218"/>
      <c r="N90" s="243" t="s">
        <v>120</v>
      </c>
      <c r="O90" s="244">
        <f>IF(U87&gt;0,(O87+P87+Q87+R87)/U87,0)</f>
        <v>0</v>
      </c>
      <c r="P90" s="218"/>
      <c r="Q90" s="218"/>
      <c r="R90" s="218"/>
      <c r="S90" s="218"/>
      <c r="T90" s="218"/>
      <c r="U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  <c r="BB90" s="218"/>
      <c r="BC90" s="218"/>
      <c r="BD90" s="218"/>
      <c r="BE90" s="218"/>
      <c r="BF90" s="218"/>
      <c r="BG90" s="218"/>
      <c r="BH90" s="218"/>
      <c r="BI90" s="218"/>
      <c r="BJ90" s="218"/>
      <c r="BK90" s="218"/>
      <c r="BL90" s="218"/>
      <c r="BM90" s="218"/>
      <c r="BN90" s="218"/>
      <c r="BO90" s="218"/>
      <c r="BP90" s="218"/>
      <c r="BQ90" s="218"/>
      <c r="BR90" s="218"/>
      <c r="BS90" s="218"/>
      <c r="BT90" s="218"/>
    </row>
    <row r="91" ht="12.75" customHeight="1">
      <c r="A91" s="243" t="s">
        <v>120</v>
      </c>
      <c r="B91" s="244">
        <f>IF(H88&gt;0,(B88+C88+D88+E88)/H88,0)</f>
        <v>0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  <c r="BB91" s="218"/>
      <c r="BC91" s="218"/>
      <c r="BD91" s="218"/>
      <c r="BE91" s="218"/>
      <c r="BF91" s="218"/>
      <c r="BG91" s="218"/>
      <c r="BH91" s="218"/>
      <c r="BI91" s="218"/>
      <c r="BJ91" s="218"/>
      <c r="BK91" s="218"/>
      <c r="BL91" s="218"/>
      <c r="BM91" s="218"/>
      <c r="BN91" s="218"/>
      <c r="BO91" s="218"/>
      <c r="BP91" s="218"/>
      <c r="BQ91" s="218"/>
      <c r="BR91" s="218"/>
      <c r="BS91" s="218"/>
      <c r="BT91" s="218"/>
    </row>
    <row r="92" ht="12.75" customHeight="1">
      <c r="L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  <c r="BB92" s="218"/>
      <c r="BC92" s="218"/>
      <c r="BD92" s="218"/>
      <c r="BE92" s="218"/>
      <c r="BF92" s="218"/>
      <c r="BG92" s="218"/>
      <c r="BH92" s="218"/>
      <c r="BI92" s="218"/>
      <c r="BJ92" s="218"/>
      <c r="BK92" s="218"/>
      <c r="BL92" s="218"/>
      <c r="BM92" s="218"/>
      <c r="BN92" s="218"/>
      <c r="BO92" s="218"/>
      <c r="BP92" s="218"/>
      <c r="BQ92" s="218"/>
      <c r="BR92" s="218"/>
      <c r="BS92" s="218"/>
      <c r="BT92" s="218"/>
    </row>
    <row r="93" ht="12.75" customHeight="1">
      <c r="A93" s="289"/>
      <c r="B93" s="287" t="s">
        <v>179</v>
      </c>
      <c r="C93" s="304"/>
      <c r="D93" s="304"/>
      <c r="E93" s="304"/>
      <c r="F93" s="304"/>
      <c r="G93" s="304"/>
      <c r="H93" s="304"/>
      <c r="I93" s="289"/>
      <c r="J93" s="289"/>
      <c r="K93" s="289"/>
      <c r="L93" s="298"/>
      <c r="M93" s="289"/>
      <c r="N93" s="289"/>
      <c r="O93" s="287" t="s">
        <v>179</v>
      </c>
      <c r="P93" s="304"/>
      <c r="Q93" s="304"/>
      <c r="R93" s="304"/>
      <c r="S93" s="304"/>
      <c r="T93" s="304"/>
      <c r="U93" s="304"/>
      <c r="V93" s="289"/>
      <c r="W93" s="289"/>
      <c r="X93" s="289"/>
      <c r="Y93" s="298"/>
      <c r="Z93" s="298"/>
      <c r="AA93" s="298"/>
      <c r="AB93" s="298"/>
      <c r="AC93" s="298"/>
      <c r="AD93" s="298"/>
      <c r="AE93" s="298"/>
      <c r="AF93" s="298"/>
      <c r="AG93" s="298"/>
      <c r="AH93" s="298"/>
      <c r="AI93" s="298"/>
      <c r="AJ93" s="298"/>
      <c r="AK93" s="298"/>
      <c r="AL93" s="298"/>
      <c r="AM93" s="298"/>
      <c r="AN93" s="298"/>
      <c r="AO93" s="298"/>
      <c r="AP93" s="298"/>
      <c r="AQ93" s="298"/>
      <c r="AR93" s="298"/>
      <c r="AS93" s="298"/>
      <c r="AT93" s="298"/>
      <c r="AU93" s="298"/>
      <c r="AV93" s="298"/>
      <c r="AW93" s="298"/>
      <c r="AX93" s="298"/>
      <c r="AY93" s="298"/>
      <c r="AZ93" s="298"/>
      <c r="BA93" s="298"/>
      <c r="BB93" s="298"/>
      <c r="BC93" s="298"/>
      <c r="BD93" s="298"/>
      <c r="BE93" s="298"/>
      <c r="BF93" s="298"/>
      <c r="BG93" s="298"/>
      <c r="BH93" s="298"/>
      <c r="BI93" s="298"/>
      <c r="BJ93" s="298"/>
      <c r="BK93" s="298"/>
      <c r="BL93" s="298"/>
      <c r="BM93" s="298"/>
      <c r="BN93" s="298"/>
      <c r="BO93" s="298"/>
      <c r="BP93" s="298"/>
      <c r="BQ93" s="298"/>
      <c r="BR93" s="298"/>
      <c r="BS93" s="298"/>
      <c r="BT93" s="298"/>
    </row>
    <row r="94" ht="12.75" customHeight="1">
      <c r="A94" s="296"/>
      <c r="B94" s="291" t="s">
        <v>183</v>
      </c>
      <c r="C94" s="305" t="s">
        <v>184</v>
      </c>
      <c r="D94" s="305" t="s">
        <v>186</v>
      </c>
      <c r="E94" s="306" t="s">
        <v>187</v>
      </c>
      <c r="F94" s="305" t="s">
        <v>188</v>
      </c>
      <c r="G94" s="305" t="s">
        <v>189</v>
      </c>
      <c r="H94" s="305" t="s">
        <v>84</v>
      </c>
      <c r="I94" s="289"/>
      <c r="J94" s="289"/>
      <c r="K94" s="289"/>
      <c r="L94" s="298"/>
      <c r="M94" s="289"/>
      <c r="N94" s="296"/>
      <c r="O94" s="291" t="s">
        <v>183</v>
      </c>
      <c r="P94" s="305" t="s">
        <v>184</v>
      </c>
      <c r="Q94" s="305" t="s">
        <v>186</v>
      </c>
      <c r="R94" s="306" t="s">
        <v>187</v>
      </c>
      <c r="S94" s="305" t="s">
        <v>188</v>
      </c>
      <c r="T94" s="305" t="s">
        <v>189</v>
      </c>
      <c r="U94" s="305" t="s">
        <v>84</v>
      </c>
      <c r="V94" s="289"/>
      <c r="W94" s="289"/>
      <c r="X94" s="289"/>
      <c r="Y94" s="298"/>
      <c r="Z94" s="298"/>
      <c r="AA94" s="298"/>
      <c r="AB94" s="298"/>
      <c r="AC94" s="298"/>
      <c r="AD94" s="298"/>
      <c r="AE94" s="298"/>
      <c r="AF94" s="298"/>
      <c r="AG94" s="298"/>
      <c r="AH94" s="298"/>
      <c r="AI94" s="298"/>
      <c r="AJ94" s="298"/>
      <c r="AK94" s="298"/>
      <c r="AL94" s="298"/>
      <c r="AM94" s="298"/>
      <c r="AN94" s="298"/>
      <c r="AO94" s="298"/>
      <c r="AP94" s="298"/>
      <c r="AQ94" s="298"/>
      <c r="AR94" s="298"/>
      <c r="AS94" s="298"/>
      <c r="AT94" s="298"/>
      <c r="AU94" s="298"/>
      <c r="AV94" s="298"/>
      <c r="AW94" s="298"/>
      <c r="AX94" s="298"/>
      <c r="AY94" s="298"/>
      <c r="AZ94" s="298"/>
      <c r="BA94" s="298"/>
      <c r="BB94" s="298"/>
      <c r="BC94" s="298"/>
      <c r="BD94" s="298"/>
      <c r="BE94" s="298"/>
      <c r="BF94" s="298"/>
      <c r="BG94" s="298"/>
      <c r="BH94" s="298"/>
      <c r="BI94" s="298"/>
      <c r="BJ94" s="298"/>
      <c r="BK94" s="298"/>
      <c r="BL94" s="298"/>
      <c r="BM94" s="298"/>
      <c r="BN94" s="298"/>
      <c r="BO94" s="298"/>
      <c r="BP94" s="298"/>
      <c r="BQ94" s="298"/>
      <c r="BR94" s="298"/>
      <c r="BS94" s="298"/>
      <c r="BT94" s="298"/>
    </row>
    <row r="95" ht="12.75" customHeight="1">
      <c r="A95" s="296"/>
      <c r="B95" s="295">
        <f>COUNTIF(B237:AG241,B94)</f>
        <v>0</v>
      </c>
      <c r="C95" s="295">
        <f>COUNTIF(B237:AG241,C94)</f>
        <v>0</v>
      </c>
      <c r="D95" s="295">
        <f t="shared" ref="D95:E95" si="27">COUNTIF(B237:AG241,D94)</f>
        <v>0</v>
      </c>
      <c r="E95" s="295">
        <f t="shared" si="27"/>
        <v>0</v>
      </c>
      <c r="F95" s="295">
        <f>COUNTIF(B237:AG241,F94)</f>
        <v>0</v>
      </c>
      <c r="G95" s="295">
        <f>COUNTIF(B237:AG241,G94)</f>
        <v>0</v>
      </c>
      <c r="H95" s="295">
        <f t="shared" ref="H95:H96" si="29">SUM(B95:G95)</f>
        <v>0</v>
      </c>
      <c r="I95" s="289"/>
      <c r="J95" s="289"/>
      <c r="K95" s="289"/>
      <c r="L95" s="298"/>
      <c r="M95" s="289"/>
      <c r="N95" s="296"/>
      <c r="O95" s="295">
        <f>COUNTIF(V237:AT241,O94)</f>
        <v>0</v>
      </c>
      <c r="P95" s="295">
        <f>COUNTIF(V237:AT241,P94)</f>
        <v>0</v>
      </c>
      <c r="Q95" s="295">
        <f>COUNTIF(V237:AT241,Q94)</f>
        <v>0</v>
      </c>
      <c r="R95" s="295">
        <f>COUNTIF(V237:AU241,R94)</f>
        <v>0</v>
      </c>
      <c r="S95" s="295">
        <f>COUNTIF(V237:AT241,S94)</f>
        <v>0</v>
      </c>
      <c r="T95" s="295">
        <f>COUNTIF(V237:AT241,T94)</f>
        <v>0</v>
      </c>
      <c r="U95" s="295">
        <f t="shared" ref="U95:U96" si="31">SUM(O95:T95)</f>
        <v>0</v>
      </c>
      <c r="V95" s="289"/>
      <c r="W95" s="289"/>
      <c r="X95" s="289"/>
      <c r="Y95" s="298"/>
      <c r="Z95" s="298"/>
      <c r="AA95" s="298"/>
      <c r="AB95" s="298"/>
      <c r="AC95" s="298"/>
      <c r="AD95" s="298"/>
      <c r="AE95" s="298"/>
      <c r="AF95" s="298"/>
      <c r="AG95" s="298"/>
      <c r="AH95" s="298"/>
      <c r="AI95" s="298"/>
      <c r="AJ95" s="298"/>
      <c r="AK95" s="298"/>
      <c r="AL95" s="298"/>
      <c r="AM95" s="298"/>
      <c r="AN95" s="298"/>
      <c r="AO95" s="298"/>
      <c r="AP95" s="298"/>
      <c r="AQ95" s="298"/>
      <c r="AR95" s="298"/>
      <c r="AS95" s="298"/>
      <c r="AT95" s="298"/>
      <c r="AU95" s="298"/>
      <c r="AV95" s="298"/>
      <c r="AW95" s="298"/>
      <c r="AX95" s="298"/>
      <c r="AY95" s="298"/>
      <c r="AZ95" s="298"/>
      <c r="BA95" s="298"/>
      <c r="BB95" s="298"/>
      <c r="BC95" s="298"/>
      <c r="BD95" s="298"/>
      <c r="BE95" s="298"/>
      <c r="BF95" s="298"/>
      <c r="BG95" s="298"/>
      <c r="BH95" s="298"/>
      <c r="BI95" s="298"/>
      <c r="BJ95" s="298"/>
      <c r="BK95" s="298"/>
      <c r="BL95" s="298"/>
      <c r="BM95" s="298"/>
      <c r="BN95" s="298"/>
      <c r="BO95" s="298"/>
      <c r="BP95" s="298"/>
      <c r="BQ95" s="298"/>
      <c r="BR95" s="298"/>
      <c r="BS95" s="298"/>
      <c r="BT95" s="298"/>
    </row>
    <row r="96" ht="12.75" customHeight="1">
      <c r="A96" s="296"/>
      <c r="B96" s="297">
        <f>IF(H95&gt;0,B95/H95,0)</f>
        <v>0</v>
      </c>
      <c r="C96" s="297">
        <f>IF(H95&gt;0,C95/H95,0)</f>
        <v>0</v>
      </c>
      <c r="D96" s="297">
        <f t="shared" ref="D96:E96" si="28">IF(H95&gt;0,D95/H95,0)</f>
        <v>0</v>
      </c>
      <c r="E96" s="297">
        <f t="shared" si="28"/>
        <v>0</v>
      </c>
      <c r="F96" s="297">
        <f>IF(H95&gt;0,F95/H95,0)</f>
        <v>0</v>
      </c>
      <c r="G96" s="297">
        <f>IF(H95&gt;0,G95/H95,0)</f>
        <v>0</v>
      </c>
      <c r="H96" s="297">
        <f t="shared" si="29"/>
        <v>0</v>
      </c>
      <c r="I96" s="289"/>
      <c r="J96" s="289"/>
      <c r="K96" s="289"/>
      <c r="L96" s="298"/>
      <c r="M96" s="289"/>
      <c r="N96" s="296"/>
      <c r="O96" s="297">
        <f>IF(U95&gt;0,O95/U95,0)</f>
        <v>0</v>
      </c>
      <c r="P96" s="297">
        <f>IF(U95&gt;0,P95/U95,0)</f>
        <v>0</v>
      </c>
      <c r="Q96" s="297">
        <f t="shared" ref="Q96:R96" si="30">IF(U95&gt;0,Q95/U95,0)</f>
        <v>0</v>
      </c>
      <c r="R96" s="297">
        <f t="shared" si="30"/>
        <v>0</v>
      </c>
      <c r="S96" s="297">
        <f>IF(U95&gt;0,S95/U95,0)</f>
        <v>0</v>
      </c>
      <c r="T96" s="297">
        <f>IF(U95&gt;0,T95/U95,0)</f>
        <v>0</v>
      </c>
      <c r="U96" s="297">
        <f t="shared" si="31"/>
        <v>0</v>
      </c>
      <c r="V96" s="289"/>
      <c r="W96" s="289"/>
      <c r="X96" s="289"/>
      <c r="Y96" s="298"/>
      <c r="Z96" s="298"/>
      <c r="AA96" s="298"/>
      <c r="AB96" s="298"/>
      <c r="AC96" s="298"/>
      <c r="AD96" s="298"/>
      <c r="AE96" s="298"/>
      <c r="AF96" s="298"/>
      <c r="AG96" s="298"/>
      <c r="AH96" s="298"/>
      <c r="AI96" s="298"/>
      <c r="AJ96" s="298"/>
      <c r="AK96" s="298"/>
      <c r="AL96" s="298"/>
      <c r="AM96" s="298"/>
      <c r="AN96" s="298"/>
      <c r="AO96" s="298"/>
      <c r="AP96" s="298"/>
      <c r="AQ96" s="298"/>
      <c r="AR96" s="298"/>
      <c r="AS96" s="298"/>
      <c r="AT96" s="298"/>
      <c r="AU96" s="298"/>
      <c r="AV96" s="298"/>
      <c r="AW96" s="298"/>
      <c r="AX96" s="298"/>
      <c r="AY96" s="298"/>
      <c r="AZ96" s="298"/>
      <c r="BA96" s="298"/>
      <c r="BB96" s="298"/>
      <c r="BC96" s="298"/>
      <c r="BD96" s="298"/>
      <c r="BE96" s="298"/>
      <c r="BF96" s="298"/>
      <c r="BG96" s="298"/>
      <c r="BH96" s="298"/>
      <c r="BI96" s="298"/>
      <c r="BJ96" s="298"/>
      <c r="BK96" s="298"/>
      <c r="BL96" s="298"/>
      <c r="BM96" s="298"/>
      <c r="BN96" s="298"/>
      <c r="BO96" s="298"/>
      <c r="BP96" s="298"/>
      <c r="BQ96" s="298"/>
      <c r="BR96" s="298"/>
      <c r="BS96" s="298"/>
      <c r="BT96" s="298"/>
    </row>
    <row r="97" ht="12.7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98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98"/>
      <c r="Z97" s="298"/>
      <c r="AA97" s="298"/>
      <c r="AB97" s="298"/>
      <c r="AC97" s="298"/>
      <c r="AD97" s="298"/>
      <c r="AE97" s="298"/>
      <c r="AF97" s="298"/>
      <c r="AG97" s="298"/>
      <c r="AH97" s="298"/>
      <c r="AI97" s="298"/>
      <c r="AJ97" s="298"/>
      <c r="AK97" s="298"/>
      <c r="AL97" s="298"/>
      <c r="AM97" s="298"/>
      <c r="AN97" s="298"/>
      <c r="AO97" s="298"/>
      <c r="AP97" s="298"/>
      <c r="AQ97" s="298"/>
      <c r="AR97" s="298"/>
      <c r="AS97" s="298"/>
      <c r="AT97" s="298"/>
      <c r="AU97" s="298"/>
      <c r="AV97" s="298"/>
      <c r="AW97" s="298"/>
      <c r="AX97" s="298"/>
      <c r="AY97" s="298"/>
      <c r="AZ97" s="298"/>
      <c r="BA97" s="298"/>
      <c r="BB97" s="298"/>
      <c r="BC97" s="298"/>
      <c r="BD97" s="298"/>
      <c r="BE97" s="298"/>
      <c r="BF97" s="298"/>
      <c r="BG97" s="298"/>
      <c r="BH97" s="298"/>
      <c r="BI97" s="298"/>
      <c r="BJ97" s="298"/>
      <c r="BK97" s="298"/>
      <c r="BL97" s="298"/>
      <c r="BM97" s="298"/>
      <c r="BN97" s="298"/>
      <c r="BO97" s="298"/>
      <c r="BP97" s="298"/>
      <c r="BQ97" s="298"/>
      <c r="BR97" s="298"/>
      <c r="BS97" s="298"/>
      <c r="BT97" s="298"/>
    </row>
    <row r="98" ht="12.75" customHeight="1">
      <c r="L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  <c r="BB98" s="218"/>
      <c r="BC98" s="218"/>
      <c r="BD98" s="218"/>
      <c r="BE98" s="218"/>
      <c r="BF98" s="218"/>
      <c r="BG98" s="218"/>
      <c r="BH98" s="218"/>
      <c r="BI98" s="218"/>
      <c r="BJ98" s="218"/>
      <c r="BK98" s="218"/>
      <c r="BL98" s="218"/>
      <c r="BM98" s="218"/>
      <c r="BN98" s="218"/>
      <c r="BO98" s="218"/>
      <c r="BP98" s="218"/>
      <c r="BQ98" s="218"/>
      <c r="BR98" s="218"/>
      <c r="BS98" s="218"/>
      <c r="BT98" s="218"/>
    </row>
    <row r="99" ht="12.75" customHeight="1">
      <c r="A99" s="224" t="s">
        <v>202</v>
      </c>
      <c r="B99" s="250" t="s">
        <v>80</v>
      </c>
      <c r="C99" s="251"/>
      <c r="D99" s="251"/>
      <c r="E99" s="251"/>
      <c r="F99" s="251"/>
      <c r="G99" s="251"/>
      <c r="H99" s="218"/>
      <c r="I99" s="225"/>
      <c r="J99" s="225"/>
      <c r="K99" s="250" t="s">
        <v>82</v>
      </c>
      <c r="L99" s="251"/>
      <c r="N99" s="224" t="s">
        <v>203</v>
      </c>
      <c r="O99" s="250" t="s">
        <v>80</v>
      </c>
      <c r="P99" s="251"/>
      <c r="Q99" s="251"/>
      <c r="R99" s="251"/>
      <c r="S99" s="251"/>
      <c r="T99" s="251"/>
      <c r="U99" s="218"/>
      <c r="W99" s="250" t="s">
        <v>82</v>
      </c>
      <c r="X99" s="251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  <c r="BB99" s="218"/>
      <c r="BC99" s="218"/>
      <c r="BD99" s="218"/>
      <c r="BE99" s="218"/>
      <c r="BF99" s="218"/>
      <c r="BG99" s="218"/>
      <c r="BH99" s="218"/>
      <c r="BI99" s="218"/>
      <c r="BJ99" s="218"/>
      <c r="BK99" s="218"/>
      <c r="BL99" s="218"/>
      <c r="BM99" s="218"/>
      <c r="BN99" s="218"/>
      <c r="BO99" s="218"/>
      <c r="BP99" s="218"/>
      <c r="BQ99" s="218"/>
      <c r="BR99" s="218"/>
      <c r="BS99" s="218"/>
      <c r="BT99" s="218"/>
    </row>
    <row r="100" ht="12.75" customHeight="1">
      <c r="A100" s="252"/>
      <c r="B100" s="253" t="s">
        <v>31</v>
      </c>
      <c r="C100" s="253" t="s">
        <v>70</v>
      </c>
      <c r="D100" s="253" t="s">
        <v>32</v>
      </c>
      <c r="E100" s="253" t="s">
        <v>68</v>
      </c>
      <c r="F100" s="253" t="s">
        <v>73</v>
      </c>
      <c r="G100" s="253" t="s">
        <v>71</v>
      </c>
      <c r="H100" s="300" t="s">
        <v>84</v>
      </c>
      <c r="I100" s="307"/>
      <c r="J100" s="308"/>
      <c r="K100" s="309" t="s">
        <v>47</v>
      </c>
      <c r="L100" s="253" t="s">
        <v>93</v>
      </c>
      <c r="M100" s="218"/>
      <c r="N100" s="252"/>
      <c r="O100" s="253" t="s">
        <v>31</v>
      </c>
      <c r="P100" s="253" t="s">
        <v>70</v>
      </c>
      <c r="Q100" s="253" t="s">
        <v>32</v>
      </c>
      <c r="R100" s="253" t="s">
        <v>68</v>
      </c>
      <c r="S100" s="253" t="s">
        <v>73</v>
      </c>
      <c r="T100" s="253" t="s">
        <v>71</v>
      </c>
      <c r="U100" s="253" t="s">
        <v>84</v>
      </c>
      <c r="W100" s="253" t="s">
        <v>47</v>
      </c>
      <c r="X100" s="253" t="s">
        <v>93</v>
      </c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  <c r="BB100" s="218"/>
      <c r="BC100" s="218"/>
      <c r="BD100" s="218"/>
      <c r="BE100" s="218"/>
      <c r="BF100" s="218"/>
      <c r="BG100" s="218"/>
      <c r="BH100" s="218"/>
      <c r="BI100" s="218"/>
      <c r="BJ100" s="218"/>
      <c r="BK100" s="218"/>
      <c r="BL100" s="218"/>
      <c r="BM100" s="218"/>
      <c r="BN100" s="218"/>
      <c r="BO100" s="218"/>
      <c r="BP100" s="218"/>
      <c r="BQ100" s="218"/>
      <c r="BR100" s="218"/>
      <c r="BS100" s="218"/>
      <c r="BT100" s="218"/>
    </row>
    <row r="101" ht="12.75" customHeight="1">
      <c r="A101" s="252"/>
      <c r="B101" s="255">
        <f>COUNTIF(B211:AG211,B100)</f>
        <v>0</v>
      </c>
      <c r="C101" s="255">
        <f>COUNTIF(B211:AG211,C100)</f>
        <v>0</v>
      </c>
      <c r="D101" s="255">
        <f t="shared" ref="D101:E101" si="32">COUNTIF(B211:AG211,D100)</f>
        <v>0</v>
      </c>
      <c r="E101" s="255">
        <f t="shared" si="32"/>
        <v>0</v>
      </c>
      <c r="F101" s="255">
        <f>COUNTIF(B211:AG211,F100)</f>
        <v>0</v>
      </c>
      <c r="G101" s="255">
        <f>COUNTIF(B211:AG211,G100)</f>
        <v>0</v>
      </c>
      <c r="H101" s="256">
        <f t="shared" ref="H101:H102" si="35">SUM(B101:G101)</f>
        <v>0</v>
      </c>
      <c r="I101" s="310"/>
      <c r="J101" s="311"/>
      <c r="K101" s="258">
        <f>COUNTIF(B211:AG211,K100)</f>
        <v>0</v>
      </c>
      <c r="L101" s="255">
        <f>COUNTIF(B211:AG211,L100)</f>
        <v>0</v>
      </c>
      <c r="M101" s="218"/>
      <c r="N101" s="252"/>
      <c r="O101" s="255">
        <f>COUNTIF(B212:AG212,O100)</f>
        <v>0</v>
      </c>
      <c r="P101" s="255">
        <f>COUNTIF(B212:AG212,P100)</f>
        <v>0</v>
      </c>
      <c r="Q101" s="255">
        <f t="shared" ref="Q101:R101" si="33">COUNTIF(B212:AG212,Q100)</f>
        <v>0</v>
      </c>
      <c r="R101" s="255">
        <f t="shared" si="33"/>
        <v>0</v>
      </c>
      <c r="S101" s="255">
        <f>COUNTIF(B212:AG212,S100)</f>
        <v>0</v>
      </c>
      <c r="T101" s="255">
        <f>COUNTIF(B212:AG212,T100)</f>
        <v>0</v>
      </c>
      <c r="U101" s="255">
        <f t="shared" ref="U101:U102" si="37">SUM(O101:T101)</f>
        <v>0</v>
      </c>
      <c r="W101" s="255">
        <f>COUNTIF(B212:AG212,W100)</f>
        <v>0</v>
      </c>
      <c r="X101" s="255">
        <f>COUNTIF(B212:AG212,X100)</f>
        <v>0</v>
      </c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  <c r="BB101" s="218"/>
      <c r="BC101" s="218"/>
      <c r="BD101" s="218"/>
      <c r="BE101" s="218"/>
      <c r="BF101" s="218"/>
      <c r="BG101" s="218"/>
      <c r="BH101" s="218"/>
      <c r="BI101" s="218"/>
      <c r="BJ101" s="218"/>
      <c r="BK101" s="218"/>
      <c r="BL101" s="218"/>
      <c r="BM101" s="218"/>
      <c r="BN101" s="218"/>
      <c r="BO101" s="218"/>
      <c r="BP101" s="218"/>
      <c r="BQ101" s="218"/>
      <c r="BR101" s="218"/>
      <c r="BS101" s="218"/>
      <c r="BT101" s="218"/>
    </row>
    <row r="102" ht="12.75" customHeight="1">
      <c r="A102" s="252"/>
      <c r="B102" s="262">
        <f>IF(H101&gt;0,B101/H101,0)</f>
        <v>0</v>
      </c>
      <c r="C102" s="262">
        <f>IF(H101&gt;0,C101/H101,0)</f>
        <v>0</v>
      </c>
      <c r="D102" s="262">
        <f t="shared" ref="D102:E102" si="34">IF(H101&gt;0,D101/H101,0)</f>
        <v>0</v>
      </c>
      <c r="E102" s="262">
        <f t="shared" si="34"/>
        <v>0</v>
      </c>
      <c r="F102" s="262">
        <f>IF(H101&gt;0,F101/H101,0)</f>
        <v>0</v>
      </c>
      <c r="G102" s="262">
        <f>IF(H101&gt;0,G101/H101,0)</f>
        <v>0</v>
      </c>
      <c r="H102" s="264">
        <f t="shared" si="35"/>
        <v>0</v>
      </c>
      <c r="I102" s="218"/>
      <c r="J102" s="218"/>
      <c r="K102" s="267"/>
      <c r="L102" s="267"/>
      <c r="N102" s="252"/>
      <c r="O102" s="262">
        <f>IF(U101&gt;0,O101/U101,0)</f>
        <v>0</v>
      </c>
      <c r="P102" s="262">
        <f>IF(U101&gt;0,P101/U101,0)</f>
        <v>0</v>
      </c>
      <c r="Q102" s="262">
        <f t="shared" ref="Q102:R102" si="36">IF(U101&gt;0,Q101/U101,0)</f>
        <v>0</v>
      </c>
      <c r="R102" s="262">
        <f t="shared" si="36"/>
        <v>0</v>
      </c>
      <c r="S102" s="262">
        <f>IF(U101&gt;0,S101/U101,0)</f>
        <v>0</v>
      </c>
      <c r="T102" s="262">
        <f>IF(U101&gt;0,T101/U101,0)</f>
        <v>0</v>
      </c>
      <c r="U102" s="264">
        <f t="shared" si="37"/>
        <v>0</v>
      </c>
      <c r="W102" s="267"/>
      <c r="X102" s="267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  <c r="BB102" s="218"/>
      <c r="BC102" s="218"/>
      <c r="BD102" s="218"/>
      <c r="BE102" s="218"/>
      <c r="BF102" s="218"/>
      <c r="BG102" s="218"/>
      <c r="BH102" s="218"/>
      <c r="BI102" s="218"/>
      <c r="BJ102" s="218"/>
      <c r="BK102" s="218"/>
      <c r="BL102" s="218"/>
      <c r="BM102" s="218"/>
      <c r="BN102" s="218"/>
      <c r="BO102" s="218"/>
      <c r="BP102" s="218"/>
      <c r="BQ102" s="218"/>
      <c r="BR102" s="218"/>
      <c r="BS102" s="218"/>
      <c r="BT102" s="218"/>
    </row>
    <row r="103" ht="12.75" customHeight="1">
      <c r="A103" s="243" t="s">
        <v>127</v>
      </c>
      <c r="B103" s="266">
        <f>IF(H101&gt;0,(B101-G101)/H101,0)</f>
        <v>0</v>
      </c>
      <c r="C103" s="267"/>
      <c r="D103" s="268"/>
      <c r="E103" s="268"/>
      <c r="F103" s="268"/>
      <c r="G103" s="267"/>
      <c r="H103" s="218"/>
      <c r="I103" s="218"/>
      <c r="J103" s="218"/>
      <c r="K103" s="218"/>
      <c r="L103" s="218"/>
      <c r="N103" s="243" t="s">
        <v>127</v>
      </c>
      <c r="O103" s="266">
        <f>IF(U101&gt;0,(O101-T101)/U101,0)</f>
        <v>0</v>
      </c>
      <c r="P103" s="267"/>
      <c r="Q103" s="268"/>
      <c r="R103" s="268"/>
      <c r="S103" s="268"/>
      <c r="T103" s="267"/>
      <c r="U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  <c r="BB103" s="218"/>
      <c r="BC103" s="218"/>
      <c r="BD103" s="218"/>
      <c r="BE103" s="218"/>
      <c r="BF103" s="218"/>
      <c r="BG103" s="218"/>
      <c r="BH103" s="218"/>
      <c r="BI103" s="218"/>
      <c r="BJ103" s="218"/>
      <c r="BK103" s="218"/>
      <c r="BL103" s="218"/>
      <c r="BM103" s="218"/>
      <c r="BN103" s="218"/>
      <c r="BO103" s="218"/>
      <c r="BP103" s="218"/>
      <c r="BQ103" s="218"/>
      <c r="BR103" s="218"/>
      <c r="BS103" s="218"/>
      <c r="BT103" s="218"/>
    </row>
    <row r="104" ht="12.75" customHeight="1">
      <c r="A104" s="243" t="s">
        <v>120</v>
      </c>
      <c r="B104" s="271">
        <f>IF(H101&gt;0,(B101+C101+D101)/H101,0)</f>
        <v>0</v>
      </c>
      <c r="C104" s="272"/>
      <c r="D104" s="218"/>
      <c r="E104" s="218"/>
      <c r="F104" s="218"/>
      <c r="G104" s="218"/>
      <c r="H104" s="218"/>
      <c r="I104" s="218"/>
      <c r="J104" s="218"/>
      <c r="K104" s="218"/>
      <c r="L104" s="218"/>
      <c r="N104" s="243" t="s">
        <v>120</v>
      </c>
      <c r="O104" s="271">
        <f>IF(U101&gt;0,(O101+P101+Q101)/U101,0)</f>
        <v>0</v>
      </c>
      <c r="P104" s="272"/>
      <c r="Q104" s="218"/>
      <c r="R104" s="218"/>
      <c r="S104" s="218"/>
      <c r="T104" s="218"/>
      <c r="U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  <c r="BB104" s="218"/>
      <c r="BC104" s="218"/>
      <c r="BD104" s="218"/>
      <c r="BE104" s="218"/>
      <c r="BF104" s="218"/>
      <c r="BG104" s="218"/>
      <c r="BH104" s="218"/>
      <c r="BI104" s="218"/>
      <c r="BJ104" s="218"/>
      <c r="BK104" s="218"/>
      <c r="BL104" s="218"/>
      <c r="BM104" s="218"/>
      <c r="BN104" s="218"/>
      <c r="BO104" s="218"/>
      <c r="BP104" s="218"/>
      <c r="BQ104" s="218"/>
      <c r="BR104" s="218"/>
      <c r="BS104" s="218"/>
      <c r="BT104" s="218"/>
    </row>
    <row r="105" ht="12.75" customHeight="1">
      <c r="A105" s="218"/>
      <c r="B105" s="276"/>
      <c r="C105" s="272"/>
      <c r="D105" s="218"/>
      <c r="E105" s="218"/>
      <c r="F105" s="218"/>
      <c r="G105" s="218"/>
      <c r="H105" s="218"/>
      <c r="I105" s="225"/>
      <c r="J105" s="225"/>
      <c r="K105" s="225" t="s">
        <v>124</v>
      </c>
      <c r="L105" s="218"/>
      <c r="N105" s="218"/>
      <c r="O105" s="276"/>
      <c r="P105" s="272"/>
      <c r="Q105" s="218"/>
      <c r="R105" s="218"/>
      <c r="S105" s="218"/>
      <c r="T105" s="218"/>
      <c r="U105" s="218"/>
      <c r="W105" s="225" t="s">
        <v>124</v>
      </c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  <c r="BB105" s="218"/>
      <c r="BC105" s="218"/>
      <c r="BD105" s="218"/>
      <c r="BE105" s="218"/>
      <c r="BF105" s="218"/>
      <c r="BG105" s="218"/>
      <c r="BH105" s="218"/>
      <c r="BI105" s="218"/>
      <c r="BJ105" s="218"/>
      <c r="BK105" s="218"/>
      <c r="BL105" s="218"/>
      <c r="BM105" s="218"/>
      <c r="BN105" s="218"/>
      <c r="BO105" s="218"/>
      <c r="BP105" s="218"/>
      <c r="BQ105" s="218"/>
      <c r="BR105" s="218"/>
      <c r="BS105" s="218"/>
      <c r="BT105" s="218"/>
    </row>
    <row r="106" ht="12.75" customHeight="1">
      <c r="A106" s="218"/>
      <c r="B106" s="250" t="s">
        <v>79</v>
      </c>
      <c r="C106" s="251"/>
      <c r="D106" s="251"/>
      <c r="E106" s="251"/>
      <c r="F106" s="251"/>
      <c r="G106" s="251"/>
      <c r="H106" s="218"/>
      <c r="I106" s="260"/>
      <c r="J106" s="260"/>
      <c r="K106" s="260" t="s">
        <v>78</v>
      </c>
      <c r="L106" s="261">
        <f>B108+B115+K101</f>
        <v>0</v>
      </c>
      <c r="N106" s="218"/>
      <c r="O106" s="250" t="s">
        <v>79</v>
      </c>
      <c r="P106" s="251"/>
      <c r="Q106" s="251"/>
      <c r="R106" s="251"/>
      <c r="S106" s="251"/>
      <c r="T106" s="251"/>
      <c r="U106" s="218"/>
      <c r="W106" s="260" t="s">
        <v>78</v>
      </c>
      <c r="X106" s="261">
        <f>O108+O115+W101</f>
        <v>0</v>
      </c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  <c r="BB106" s="218"/>
      <c r="BC106" s="218"/>
      <c r="BD106" s="218"/>
      <c r="BE106" s="218"/>
      <c r="BF106" s="218"/>
      <c r="BG106" s="218"/>
      <c r="BH106" s="218"/>
      <c r="BI106" s="218"/>
      <c r="BJ106" s="218"/>
      <c r="BK106" s="218"/>
      <c r="BL106" s="218"/>
      <c r="BM106" s="218"/>
      <c r="BN106" s="218"/>
      <c r="BO106" s="218"/>
      <c r="BP106" s="218"/>
      <c r="BQ106" s="218"/>
      <c r="BR106" s="218"/>
      <c r="BS106" s="218"/>
      <c r="BT106" s="218"/>
    </row>
    <row r="107" ht="12.75" customHeight="1">
      <c r="A107" s="252"/>
      <c r="B107" s="253" t="s">
        <v>48</v>
      </c>
      <c r="C107" s="253" t="s">
        <v>26</v>
      </c>
      <c r="D107" s="253" t="s">
        <v>57</v>
      </c>
      <c r="E107" s="253" t="s">
        <v>46</v>
      </c>
      <c r="F107" s="253" t="s">
        <v>75</v>
      </c>
      <c r="G107" s="253" t="s">
        <v>29</v>
      </c>
      <c r="H107" s="253" t="s">
        <v>84</v>
      </c>
      <c r="I107" s="260"/>
      <c r="J107" s="260"/>
      <c r="K107" s="260" t="s">
        <v>125</v>
      </c>
      <c r="L107" s="261">
        <f>G115+G108</f>
        <v>0</v>
      </c>
      <c r="N107" s="252"/>
      <c r="O107" s="253" t="s">
        <v>48</v>
      </c>
      <c r="P107" s="253" t="s">
        <v>26</v>
      </c>
      <c r="AB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  <c r="BB107" s="218"/>
      <c r="BC107" s="218"/>
      <c r="BD107" s="218"/>
      <c r="BE107" s="218"/>
      <c r="BF107" s="218"/>
      <c r="BG107" s="218"/>
      <c r="BH107" s="218"/>
      <c r="BI107" s="218"/>
      <c r="BJ107" s="218"/>
      <c r="BK107" s="218"/>
      <c r="BL107" s="218"/>
      <c r="BM107" s="218"/>
      <c r="BN107" s="218"/>
      <c r="BO107" s="218"/>
      <c r="BP107" s="218"/>
      <c r="BQ107" s="218"/>
      <c r="BR107" s="218"/>
      <c r="BS107" s="218"/>
      <c r="BT107" s="218"/>
    </row>
    <row r="108" ht="12.75" customHeight="1">
      <c r="A108" s="252"/>
      <c r="B108" s="255">
        <f>COUNTIF(B211:AG211,B107)</f>
        <v>0</v>
      </c>
      <c r="C108" s="255">
        <f t="shared" ref="C108:D108" si="38">COUNTIF(B211:AG211,C107)</f>
        <v>0</v>
      </c>
      <c r="D108" s="255">
        <f t="shared" si="38"/>
        <v>0</v>
      </c>
      <c r="E108" s="255">
        <f>COUNTIF(B211:AG211,E107)</f>
        <v>0</v>
      </c>
      <c r="F108" s="255">
        <f>COUNTIF(B211:AG211,F107)</f>
        <v>0</v>
      </c>
      <c r="G108" s="255">
        <f>COUNTIF(B211:AG211,G107)</f>
        <v>0</v>
      </c>
      <c r="H108" s="255">
        <f>SUM(B108:G108)</f>
        <v>0</v>
      </c>
      <c r="I108" s="260"/>
      <c r="J108" s="260"/>
      <c r="K108" s="260" t="s">
        <v>130</v>
      </c>
      <c r="L108" s="261">
        <f>G101</f>
        <v>0</v>
      </c>
      <c r="N108" s="252"/>
      <c r="O108" s="255">
        <f>COUNTIF(B212:AG212,O107)</f>
        <v>0</v>
      </c>
      <c r="P108" s="255">
        <f>COUNTIF(B212:AG212,P107)</f>
        <v>0</v>
      </c>
      <c r="Q108" s="289"/>
      <c r="R108" s="287" t="s">
        <v>179</v>
      </c>
      <c r="S108" s="304"/>
      <c r="T108" s="304"/>
      <c r="U108" s="304"/>
      <c r="V108" s="304"/>
      <c r="W108" s="304"/>
      <c r="X108" s="304"/>
      <c r="Y108" s="289"/>
      <c r="Z108" s="289"/>
      <c r="AA108" s="289"/>
      <c r="AB108" s="298"/>
      <c r="AC108" s="289"/>
      <c r="AD108" s="289"/>
      <c r="AE108" s="287" t="s">
        <v>179</v>
      </c>
      <c r="AF108" s="304"/>
      <c r="AG108" s="304"/>
      <c r="AH108" s="304"/>
      <c r="AI108" s="304"/>
      <c r="AJ108" s="304"/>
      <c r="AK108" s="304"/>
      <c r="AL108" s="289"/>
      <c r="AM108" s="289"/>
      <c r="AN108" s="289"/>
      <c r="AO108" s="298"/>
      <c r="AP108" s="298"/>
      <c r="AQ108" s="298"/>
      <c r="AR108" s="298"/>
      <c r="AS108" s="298"/>
      <c r="AT108" s="298"/>
      <c r="AU108" s="298"/>
      <c r="AV108" s="298"/>
      <c r="AW108" s="298"/>
      <c r="AX108" s="298"/>
      <c r="AY108" s="298"/>
      <c r="AZ108" s="298"/>
      <c r="BA108" s="298"/>
      <c r="BB108" s="298"/>
      <c r="BC108" s="298"/>
      <c r="BD108" s="298"/>
      <c r="BE108" s="298"/>
      <c r="BF108" s="298"/>
      <c r="BG108" s="298"/>
      <c r="BH108" s="298"/>
      <c r="BI108" s="298"/>
      <c r="BJ108" s="298"/>
      <c r="BK108" s="298"/>
      <c r="BL108" s="298"/>
      <c r="BM108" s="298"/>
      <c r="BN108" s="298"/>
      <c r="BO108" s="298"/>
      <c r="BP108" s="298"/>
      <c r="BQ108" s="298"/>
      <c r="BR108" s="298"/>
      <c r="BS108" s="298"/>
      <c r="BT108" s="298"/>
    </row>
    <row r="109" ht="12.75" customHeight="1">
      <c r="B109" s="262">
        <f>IF(B108 &gt; 0,B108/H108,0)</f>
        <v>0</v>
      </c>
      <c r="C109" s="262">
        <f>IF(C108&gt;0,C108/H108,0)</f>
        <v>0</v>
      </c>
      <c r="D109" s="262">
        <f>if(D108&gt;0,D108/D108,0)</f>
        <v>0</v>
      </c>
      <c r="E109" s="262">
        <f t="shared" ref="E109:G109" si="39">IF(E108&gt;0,E108/$H$108,0)</f>
        <v>0</v>
      </c>
      <c r="F109" s="262">
        <f t="shared" si="39"/>
        <v>0</v>
      </c>
      <c r="G109" s="262">
        <f t="shared" si="39"/>
        <v>0</v>
      </c>
      <c r="H109" s="279"/>
      <c r="K109" s="260" t="s">
        <v>137</v>
      </c>
      <c r="L109" s="277">
        <f>B103</f>
        <v>0</v>
      </c>
      <c r="N109" s="252"/>
      <c r="O109" s="262">
        <f t="shared" ref="O109:P109" si="40">if(O108&gt;0,O108/$U$108,0)</f>
        <v>0</v>
      </c>
      <c r="P109" s="262">
        <f t="shared" si="40"/>
        <v>0</v>
      </c>
      <c r="Q109" s="296"/>
      <c r="R109" s="291" t="s">
        <v>183</v>
      </c>
      <c r="S109" s="305" t="s">
        <v>184</v>
      </c>
      <c r="T109" s="305" t="s">
        <v>186</v>
      </c>
      <c r="U109" s="306" t="s">
        <v>187</v>
      </c>
      <c r="V109" s="305" t="s">
        <v>188</v>
      </c>
      <c r="W109" s="305" t="s">
        <v>189</v>
      </c>
      <c r="X109" s="305" t="s">
        <v>84</v>
      </c>
      <c r="Y109" s="289"/>
      <c r="Z109" s="289"/>
      <c r="AA109" s="289"/>
      <c r="AB109" s="298"/>
      <c r="AC109" s="289"/>
      <c r="AD109" s="296"/>
      <c r="AE109" s="291" t="s">
        <v>183</v>
      </c>
      <c r="AF109" s="305" t="s">
        <v>184</v>
      </c>
      <c r="AG109" s="305" t="s">
        <v>186</v>
      </c>
      <c r="AH109" s="306" t="s">
        <v>187</v>
      </c>
      <c r="AI109" s="305" t="s">
        <v>188</v>
      </c>
      <c r="AJ109" s="305" t="s">
        <v>189</v>
      </c>
      <c r="AK109" s="305" t="s">
        <v>84</v>
      </c>
      <c r="AL109" s="289"/>
      <c r="AM109" s="289"/>
      <c r="AN109" s="289"/>
      <c r="AO109" s="298"/>
      <c r="AP109" s="298"/>
      <c r="AQ109" s="298"/>
      <c r="AR109" s="298"/>
      <c r="AS109" s="298"/>
      <c r="AT109" s="298"/>
      <c r="AU109" s="298"/>
      <c r="AV109" s="298"/>
      <c r="AW109" s="298"/>
      <c r="AX109" s="298"/>
      <c r="AY109" s="298"/>
      <c r="AZ109" s="298"/>
      <c r="BA109" s="298"/>
      <c r="BB109" s="298"/>
      <c r="BC109" s="298"/>
      <c r="BD109" s="298"/>
      <c r="BE109" s="298"/>
      <c r="BF109" s="298"/>
      <c r="BG109" s="298"/>
      <c r="BH109" s="298"/>
      <c r="BI109" s="298"/>
      <c r="BJ109" s="298"/>
      <c r="BK109" s="298"/>
      <c r="BL109" s="298"/>
      <c r="BM109" s="298"/>
      <c r="BN109" s="298"/>
      <c r="BO109" s="298"/>
      <c r="BP109" s="298"/>
      <c r="BQ109" s="298"/>
      <c r="BR109" s="298"/>
      <c r="BS109" s="298"/>
      <c r="BT109" s="298"/>
    </row>
    <row r="110" ht="12.75" customHeight="1">
      <c r="A110" s="243" t="s">
        <v>127</v>
      </c>
      <c r="B110" s="266">
        <f>IF(H108&gt;0,(B108-G108)/H108,0)</f>
        <v>0</v>
      </c>
      <c r="C110" s="267"/>
      <c r="D110" s="267"/>
      <c r="E110" s="312"/>
      <c r="F110" s="267"/>
      <c r="G110" s="267"/>
      <c r="H110" s="218"/>
      <c r="I110" s="260"/>
      <c r="J110" s="260"/>
      <c r="K110" s="260" t="s">
        <v>141</v>
      </c>
      <c r="L110" s="277">
        <f>B117</f>
        <v>0</v>
      </c>
      <c r="N110" s="243" t="s">
        <v>127</v>
      </c>
      <c r="O110" s="266">
        <f>IF(U108&gt;0,(O108-T108)/U108,0)</f>
        <v>0</v>
      </c>
      <c r="P110" s="267"/>
      <c r="Q110" s="296"/>
      <c r="R110" s="295">
        <f>COUNTIF(V252:AW256,R109)</f>
        <v>0</v>
      </c>
      <c r="S110" s="295">
        <f>COUNTIF(V252:AW256,S109)</f>
        <v>0</v>
      </c>
      <c r="T110" s="295">
        <f>COUNTIF(V252:AW256,T109)</f>
        <v>0</v>
      </c>
      <c r="U110" s="295">
        <f>COUNTIF(V252:AX256,U109)</f>
        <v>0</v>
      </c>
      <c r="V110" s="295">
        <f>COUNTIF(V252:AW256,V109)</f>
        <v>0</v>
      </c>
      <c r="W110" s="295">
        <f>COUNTIF(V252:AW256,W109)</f>
        <v>0</v>
      </c>
      <c r="X110" s="295">
        <f t="shared" ref="X110:X111" si="43">SUM(R110:W110)</f>
        <v>0</v>
      </c>
      <c r="Y110" s="289"/>
      <c r="Z110" s="289"/>
      <c r="AA110" s="289"/>
      <c r="AB110" s="298"/>
      <c r="AC110" s="289"/>
      <c r="AD110" s="296"/>
      <c r="AE110" s="295">
        <f>COUNTIF(AE252:BJ256,AE109)</f>
        <v>0</v>
      </c>
      <c r="AF110" s="295">
        <f>COUNTIF(AE252:BJ256,AF109)</f>
        <v>0</v>
      </c>
      <c r="AG110" s="295">
        <f t="shared" ref="AG110:AH110" si="41">COUNTIF(AE252:BJ256,AG109)</f>
        <v>0</v>
      </c>
      <c r="AH110" s="295">
        <f t="shared" si="41"/>
        <v>0</v>
      </c>
      <c r="AI110" s="295">
        <f>COUNTIF(AE252:BJ256,AI109)</f>
        <v>0</v>
      </c>
      <c r="AJ110" s="295">
        <f>COUNTIF(AE252:BJ256,AJ109)</f>
        <v>0</v>
      </c>
      <c r="AK110" s="295">
        <f t="shared" ref="AK110:AK111" si="45">SUM(AE110:AJ110)</f>
        <v>0</v>
      </c>
      <c r="AL110" s="289"/>
      <c r="AM110" s="289"/>
      <c r="AN110" s="289"/>
      <c r="AO110" s="298"/>
      <c r="AP110" s="298"/>
      <c r="AQ110" s="298"/>
      <c r="AR110" s="298"/>
      <c r="AS110" s="298"/>
      <c r="AT110" s="298"/>
      <c r="AU110" s="298"/>
      <c r="AV110" s="298"/>
      <c r="AW110" s="298"/>
      <c r="AX110" s="298"/>
      <c r="AY110" s="298"/>
      <c r="AZ110" s="298"/>
      <c r="BA110" s="298"/>
      <c r="BB110" s="298"/>
      <c r="BC110" s="298"/>
      <c r="BD110" s="298"/>
      <c r="BE110" s="298"/>
      <c r="BF110" s="298"/>
      <c r="BG110" s="298"/>
      <c r="BH110" s="298"/>
      <c r="BI110" s="298"/>
      <c r="BJ110" s="298"/>
      <c r="BK110" s="298"/>
      <c r="BL110" s="298"/>
      <c r="BM110" s="298"/>
      <c r="BN110" s="298"/>
      <c r="BO110" s="298"/>
      <c r="BP110" s="298"/>
      <c r="BQ110" s="298"/>
      <c r="BR110" s="298"/>
      <c r="BS110" s="298"/>
      <c r="BT110" s="298"/>
    </row>
    <row r="111" ht="12.75" customHeight="1">
      <c r="A111" s="243" t="s">
        <v>120</v>
      </c>
      <c r="B111" s="271">
        <f>IF(H108&gt;0,(B108+C108)/H108,0)</f>
        <v>0</v>
      </c>
      <c r="C111" s="218"/>
      <c r="D111" s="218"/>
      <c r="E111" s="218"/>
      <c r="F111" s="218"/>
      <c r="G111" s="218"/>
      <c r="H111" s="218"/>
      <c r="I111" s="260" t="s">
        <v>133</v>
      </c>
      <c r="J111" s="260"/>
      <c r="K111" s="261">
        <f>F115</f>
        <v>0</v>
      </c>
      <c r="L111" s="218"/>
      <c r="N111" s="243" t="s">
        <v>120</v>
      </c>
      <c r="O111" s="271">
        <f>IF(U108&gt;0,(O108+P108)/U108,0)</f>
        <v>0</v>
      </c>
      <c r="P111" s="218"/>
      <c r="Q111" s="296"/>
      <c r="R111" s="297">
        <f>IF(X110&gt;0,R110/X110,0)</f>
        <v>0</v>
      </c>
      <c r="S111" s="297">
        <f>IF(X110&gt;0,S110/X110,0)</f>
        <v>0</v>
      </c>
      <c r="T111" s="297">
        <f t="shared" ref="T111:U111" si="42">IF(X110&gt;0,T110/X110,0)</f>
        <v>0</v>
      </c>
      <c r="U111" s="297">
        <f t="shared" si="42"/>
        <v>0</v>
      </c>
      <c r="V111" s="297">
        <f>IF(X110&gt;0,V110/X110,0)</f>
        <v>0</v>
      </c>
      <c r="W111" s="297">
        <f>IF(X110&gt;0,W110/X110,0)</f>
        <v>0</v>
      </c>
      <c r="X111" s="297">
        <f t="shared" si="43"/>
        <v>0</v>
      </c>
      <c r="Y111" s="289"/>
      <c r="Z111" s="289"/>
      <c r="AA111" s="289"/>
      <c r="AB111" s="298"/>
      <c r="AC111" s="289"/>
      <c r="AD111" s="296"/>
      <c r="AE111" s="297">
        <f>IF(AK110&gt;0,AE110/AK110,0)</f>
        <v>0</v>
      </c>
      <c r="AF111" s="297">
        <f>IF(AK110&gt;0,AF110/AK110,0)</f>
        <v>0</v>
      </c>
      <c r="AG111" s="297">
        <f t="shared" ref="AG111:AH111" si="44">IF(AK110&gt;0,AG110/AK110,0)</f>
        <v>0</v>
      </c>
      <c r="AH111" s="297">
        <f t="shared" si="44"/>
        <v>0</v>
      </c>
      <c r="AI111" s="297">
        <f>IF(AK110&gt;0,AI110/AK110,0)</f>
        <v>0</v>
      </c>
      <c r="AJ111" s="297">
        <f>IF(AK110&gt;0,AJ110/AK110,0)</f>
        <v>0</v>
      </c>
      <c r="AK111" s="297">
        <f t="shared" si="45"/>
        <v>0</v>
      </c>
      <c r="AL111" s="289"/>
      <c r="AM111" s="289"/>
      <c r="AN111" s="289"/>
      <c r="AO111" s="298"/>
      <c r="AP111" s="298"/>
      <c r="AQ111" s="298"/>
      <c r="AR111" s="298"/>
      <c r="AS111" s="298"/>
      <c r="AT111" s="298"/>
      <c r="AU111" s="298"/>
      <c r="AV111" s="298"/>
      <c r="AW111" s="298"/>
      <c r="AX111" s="298"/>
      <c r="AY111" s="298"/>
      <c r="AZ111" s="298"/>
      <c r="BA111" s="298"/>
      <c r="BB111" s="298"/>
      <c r="BC111" s="298"/>
      <c r="BD111" s="298"/>
      <c r="BE111" s="298"/>
      <c r="BF111" s="298"/>
      <c r="BG111" s="298"/>
      <c r="BH111" s="298"/>
      <c r="BI111" s="298"/>
      <c r="BJ111" s="298"/>
      <c r="BK111" s="298"/>
      <c r="BL111" s="298"/>
      <c r="BM111" s="298"/>
      <c r="BN111" s="298"/>
      <c r="BO111" s="298"/>
      <c r="BP111" s="298"/>
      <c r="BQ111" s="298"/>
      <c r="BR111" s="298"/>
      <c r="BS111" s="298"/>
      <c r="BT111" s="298"/>
    </row>
    <row r="112" ht="12.75" customHeight="1">
      <c r="A112" s="218"/>
      <c r="B112" s="276"/>
      <c r="C112" s="218"/>
      <c r="D112" s="218"/>
      <c r="E112" s="218"/>
      <c r="F112" s="218"/>
      <c r="G112" s="218"/>
      <c r="I112" s="261"/>
      <c r="J112" s="261"/>
      <c r="N112" s="218"/>
      <c r="O112" s="244"/>
      <c r="P112" s="218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98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98"/>
      <c r="AP112" s="298"/>
      <c r="AQ112" s="298"/>
      <c r="AR112" s="298"/>
      <c r="AS112" s="298"/>
      <c r="AT112" s="298"/>
      <c r="AU112" s="298"/>
      <c r="AV112" s="298"/>
      <c r="AW112" s="298"/>
      <c r="AX112" s="298"/>
      <c r="AY112" s="298"/>
      <c r="AZ112" s="298"/>
      <c r="BA112" s="298"/>
      <c r="BB112" s="298"/>
      <c r="BC112" s="298"/>
      <c r="BD112" s="298"/>
      <c r="BE112" s="298"/>
      <c r="BF112" s="298"/>
      <c r="BG112" s="298"/>
      <c r="BH112" s="298"/>
      <c r="BI112" s="298"/>
      <c r="BJ112" s="298"/>
      <c r="BK112" s="298"/>
      <c r="BL112" s="298"/>
      <c r="BM112" s="298"/>
      <c r="BN112" s="298"/>
      <c r="BO112" s="298"/>
      <c r="BP112" s="298"/>
      <c r="BQ112" s="298"/>
      <c r="BR112" s="298"/>
      <c r="BS112" s="298"/>
      <c r="BT112" s="298"/>
    </row>
    <row r="113" ht="12.75" customHeight="1">
      <c r="A113" s="218"/>
      <c r="B113" s="250" t="s">
        <v>81</v>
      </c>
      <c r="C113" s="251"/>
      <c r="D113" s="251"/>
      <c r="E113" s="251"/>
      <c r="F113" s="251"/>
      <c r="G113" s="251"/>
      <c r="H113" s="251"/>
      <c r="I113" s="218"/>
      <c r="J113" s="218"/>
      <c r="K113" s="218"/>
      <c r="L113" s="218"/>
      <c r="N113" s="218"/>
      <c r="O113" s="250" t="s">
        <v>81</v>
      </c>
      <c r="P113" s="251"/>
      <c r="AB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  <c r="BB113" s="218"/>
      <c r="BC113" s="218"/>
      <c r="BD113" s="218"/>
      <c r="BE113" s="218"/>
      <c r="BF113" s="218"/>
      <c r="BG113" s="218"/>
      <c r="BH113" s="218"/>
      <c r="BI113" s="218"/>
      <c r="BJ113" s="218"/>
      <c r="BK113" s="218"/>
      <c r="BL113" s="218"/>
      <c r="BM113" s="218"/>
      <c r="BN113" s="218"/>
      <c r="BO113" s="218"/>
      <c r="BP113" s="218"/>
      <c r="BQ113" s="218"/>
      <c r="BR113" s="218"/>
      <c r="BS113" s="218"/>
      <c r="BT113" s="218"/>
    </row>
    <row r="114" ht="12.75" customHeight="1">
      <c r="A114" s="252"/>
      <c r="B114" s="253" t="s">
        <v>28</v>
      </c>
      <c r="C114" s="253" t="s">
        <v>51</v>
      </c>
      <c r="D114" s="253" t="s">
        <v>74</v>
      </c>
      <c r="E114" s="253" t="s">
        <v>69</v>
      </c>
      <c r="F114" s="253" t="s">
        <v>76</v>
      </c>
      <c r="G114" s="253" t="s">
        <v>54</v>
      </c>
      <c r="H114" s="253" t="s">
        <v>84</v>
      </c>
      <c r="I114" s="279"/>
      <c r="J114" s="218"/>
      <c r="K114" s="218"/>
      <c r="L114" s="218"/>
      <c r="N114" s="252"/>
      <c r="O114" s="253" t="s">
        <v>28</v>
      </c>
      <c r="P114" s="253" t="s">
        <v>51</v>
      </c>
      <c r="Q114" s="253" t="s">
        <v>74</v>
      </c>
      <c r="R114" s="253" t="s">
        <v>69</v>
      </c>
      <c r="S114" s="253" t="s">
        <v>76</v>
      </c>
      <c r="T114" s="253" t="s">
        <v>54</v>
      </c>
      <c r="U114" s="253" t="s">
        <v>84</v>
      </c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  <c r="BB114" s="218"/>
      <c r="BC114" s="218"/>
      <c r="BD114" s="218"/>
      <c r="BE114" s="218"/>
      <c r="BF114" s="218"/>
      <c r="BG114" s="218"/>
      <c r="BH114" s="218"/>
      <c r="BI114" s="218"/>
      <c r="BJ114" s="218"/>
      <c r="BK114" s="218"/>
      <c r="BL114" s="218"/>
      <c r="BM114" s="218"/>
      <c r="BN114" s="218"/>
      <c r="BO114" s="218"/>
      <c r="BP114" s="218"/>
      <c r="BQ114" s="218"/>
      <c r="BR114" s="218"/>
      <c r="BS114" s="218"/>
      <c r="BT114" s="218"/>
    </row>
    <row r="115" ht="12.75" customHeight="1">
      <c r="A115" s="252"/>
      <c r="B115" s="255">
        <f>COUNTIF(B211:AG211,B114)</f>
        <v>0</v>
      </c>
      <c r="C115" s="255">
        <f>COUNTIF(B211:AG211,C114)</f>
        <v>0</v>
      </c>
      <c r="D115" s="255">
        <f>COUNTIF(B211:AG211,D114)</f>
        <v>0</v>
      </c>
      <c r="E115" s="255">
        <f>COUNTIF(B211:AG211,E114)</f>
        <v>0</v>
      </c>
      <c r="F115" s="255">
        <f>COUNTIF(B211:AG211,F114)</f>
        <v>0</v>
      </c>
      <c r="G115" s="255">
        <f>COUNTIF(B211:AG211,G114)</f>
        <v>0</v>
      </c>
      <c r="H115" s="255">
        <f t="shared" ref="H115:H116" si="46">SUM(B115:G115)</f>
        <v>0</v>
      </c>
      <c r="I115" s="279"/>
      <c r="J115" s="218"/>
      <c r="K115" s="218"/>
      <c r="L115" s="218"/>
      <c r="N115" s="252"/>
      <c r="O115" s="255">
        <f>COUNTIF(B212:AG212,O114)</f>
        <v>0</v>
      </c>
      <c r="P115" s="255">
        <f>COUNTIF(B212:AG212,P114)</f>
        <v>0</v>
      </c>
      <c r="Q115" s="255">
        <f>COUNTIF(B212:AG212,Q114)</f>
        <v>0</v>
      </c>
      <c r="R115" s="255">
        <f>COUNTIF(B212:AG212,R114)</f>
        <v>0</v>
      </c>
      <c r="S115" s="255">
        <f>COUNTIF(B212:AG212,S114)</f>
        <v>0</v>
      </c>
      <c r="T115" s="255">
        <f>COUNTIF(B212:AG212,T114)</f>
        <v>0</v>
      </c>
      <c r="U115" s="255">
        <f t="shared" ref="U115:U116" si="47">SUM(O115:T115)</f>
        <v>0</v>
      </c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  <c r="BB115" s="218"/>
      <c r="BC115" s="218"/>
      <c r="BD115" s="218"/>
      <c r="BE115" s="218"/>
      <c r="BF115" s="218"/>
      <c r="BG115" s="218"/>
      <c r="BH115" s="218"/>
      <c r="BI115" s="218"/>
      <c r="BJ115" s="218"/>
      <c r="BK115" s="218"/>
      <c r="BL115" s="218"/>
      <c r="BM115" s="218"/>
      <c r="BN115" s="218"/>
      <c r="BO115" s="218"/>
      <c r="BP115" s="218"/>
      <c r="BQ115" s="218"/>
      <c r="BR115" s="218"/>
      <c r="BS115" s="218"/>
      <c r="BT115" s="218"/>
    </row>
    <row r="116" ht="12.75" customHeight="1">
      <c r="A116" s="252"/>
      <c r="B116" s="262">
        <f>IF(H115&gt;0,B115/H115,0)</f>
        <v>0</v>
      </c>
      <c r="C116" s="262">
        <f>IF(H115&gt;0,C115/H115,0)</f>
        <v>0</v>
      </c>
      <c r="D116" s="262">
        <f>IF(H115&gt;0,D115/H115,0)</f>
        <v>0</v>
      </c>
      <c r="E116" s="262">
        <f>IF(H115&gt;0,E115/H115,0)</f>
        <v>0</v>
      </c>
      <c r="F116" s="262">
        <f>IF(H115&gt;0,F115/H115,0)</f>
        <v>0</v>
      </c>
      <c r="G116" s="262">
        <f>IF(H115&gt;0,G115/H115,0)</f>
        <v>0</v>
      </c>
      <c r="H116" s="262">
        <f t="shared" si="46"/>
        <v>0</v>
      </c>
      <c r="I116" s="279"/>
      <c r="J116" s="218"/>
      <c r="K116" s="218"/>
      <c r="L116" s="218"/>
      <c r="N116" s="252"/>
      <c r="O116" s="262">
        <f>IF(U115&gt;0,O115/U115,0)</f>
        <v>0</v>
      </c>
      <c r="P116" s="262">
        <f>IF(U115&gt;0,P115/U115,0)</f>
        <v>0</v>
      </c>
      <c r="Q116" s="262">
        <f>IF(U115&gt;0,Q115/U115,0)</f>
        <v>0</v>
      </c>
      <c r="R116" s="262">
        <f>IF(U115&gt;0,R115/U115,0)</f>
        <v>0</v>
      </c>
      <c r="S116" s="262">
        <f>IF(U115&gt;0,S115/U115,0)</f>
        <v>0</v>
      </c>
      <c r="T116" s="262">
        <f>IF(U115&gt;0,T115/U115,0)</f>
        <v>0</v>
      </c>
      <c r="U116" s="262">
        <f t="shared" si="47"/>
        <v>0</v>
      </c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  <c r="BB116" s="218"/>
      <c r="BC116" s="218"/>
      <c r="BD116" s="218"/>
      <c r="BE116" s="218"/>
      <c r="BF116" s="218"/>
      <c r="BG116" s="218"/>
      <c r="BH116" s="218"/>
      <c r="BI116" s="218"/>
      <c r="BJ116" s="218"/>
      <c r="BK116" s="218"/>
      <c r="BL116" s="218"/>
      <c r="BM116" s="218"/>
      <c r="BN116" s="218"/>
      <c r="BO116" s="218"/>
      <c r="BP116" s="218"/>
      <c r="BQ116" s="218"/>
      <c r="BR116" s="218"/>
      <c r="BS116" s="218"/>
      <c r="BT116" s="218"/>
    </row>
    <row r="117" ht="12.75" customHeight="1">
      <c r="A117" s="243" t="s">
        <v>127</v>
      </c>
      <c r="B117" s="269">
        <f>IF(H115&gt;0,(B115-G115)/H115,0)</f>
        <v>0</v>
      </c>
      <c r="C117" s="267"/>
      <c r="D117" s="267"/>
      <c r="E117" s="267"/>
      <c r="F117" s="267"/>
      <c r="G117" s="267"/>
      <c r="H117" s="267"/>
      <c r="I117" s="218"/>
      <c r="J117" s="218"/>
      <c r="K117" s="218"/>
      <c r="L117" s="218"/>
      <c r="N117" s="243" t="s">
        <v>127</v>
      </c>
      <c r="O117" s="269">
        <f>IF(U115&gt;0,(O115-T115)/U115,0)</f>
        <v>0</v>
      </c>
      <c r="P117" s="267"/>
      <c r="Q117" s="267"/>
      <c r="R117" s="267"/>
      <c r="S117" s="267"/>
      <c r="T117" s="267"/>
      <c r="U117" s="267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  <c r="BB117" s="218"/>
      <c r="BC117" s="218"/>
      <c r="BD117" s="218"/>
      <c r="BE117" s="218"/>
      <c r="BF117" s="218"/>
      <c r="BG117" s="218"/>
      <c r="BH117" s="218"/>
      <c r="BI117" s="218"/>
      <c r="BJ117" s="218"/>
      <c r="BK117" s="218"/>
      <c r="BL117" s="218"/>
      <c r="BM117" s="218"/>
      <c r="BN117" s="218"/>
      <c r="BO117" s="218"/>
      <c r="BP117" s="218"/>
      <c r="BQ117" s="218"/>
      <c r="BR117" s="218"/>
      <c r="BS117" s="218"/>
      <c r="BT117" s="218"/>
    </row>
    <row r="118" ht="12.75" customHeight="1">
      <c r="A118" s="243" t="s">
        <v>120</v>
      </c>
      <c r="B118" s="244">
        <f>IF(H115&gt;0,(B115+C115+D115+E115)/H115,0)</f>
        <v>0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N118" s="243" t="s">
        <v>120</v>
      </c>
      <c r="O118" s="244">
        <f>IF(U115&gt;0,(O115+P115+Q115+R115)/U115,0)</f>
        <v>0</v>
      </c>
      <c r="P118" s="218"/>
      <c r="Q118" s="218"/>
      <c r="R118" s="218"/>
      <c r="S118" s="218"/>
      <c r="T118" s="218"/>
      <c r="U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  <c r="BB118" s="218"/>
      <c r="BC118" s="218"/>
      <c r="BD118" s="218"/>
      <c r="BE118" s="218"/>
      <c r="BF118" s="218"/>
      <c r="BG118" s="218"/>
      <c r="BH118" s="218"/>
      <c r="BI118" s="218"/>
      <c r="BJ118" s="218"/>
      <c r="BK118" s="218"/>
      <c r="BL118" s="218"/>
      <c r="BM118" s="218"/>
      <c r="BN118" s="218"/>
      <c r="BO118" s="218"/>
      <c r="BP118" s="218"/>
      <c r="BQ118" s="218"/>
      <c r="BR118" s="218"/>
      <c r="BS118" s="218"/>
      <c r="BT118" s="218"/>
    </row>
    <row r="119" ht="12.75" customHeight="1">
      <c r="L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  <c r="BB119" s="218"/>
      <c r="BC119" s="218"/>
      <c r="BD119" s="218"/>
      <c r="BE119" s="218"/>
      <c r="BF119" s="218"/>
      <c r="BG119" s="218"/>
      <c r="BH119" s="218"/>
      <c r="BI119" s="218"/>
      <c r="BJ119" s="218"/>
      <c r="BK119" s="218"/>
      <c r="BL119" s="218"/>
      <c r="BM119" s="218"/>
      <c r="BN119" s="218"/>
      <c r="BO119" s="218"/>
      <c r="BP119" s="218"/>
      <c r="BQ119" s="218"/>
      <c r="BR119" s="218"/>
      <c r="BS119" s="218"/>
      <c r="BT119" s="218"/>
    </row>
    <row r="120" ht="12.75" customHeight="1">
      <c r="A120" s="289"/>
      <c r="B120" s="287" t="s">
        <v>179</v>
      </c>
      <c r="C120" s="304"/>
      <c r="D120" s="304"/>
      <c r="E120" s="304"/>
      <c r="F120" s="304"/>
      <c r="G120" s="304"/>
      <c r="H120" s="304"/>
      <c r="I120" s="289"/>
      <c r="J120" s="289"/>
      <c r="K120" s="289"/>
      <c r="L120" s="298"/>
      <c r="M120" s="289"/>
      <c r="N120" s="289"/>
      <c r="O120" s="287" t="s">
        <v>179</v>
      </c>
      <c r="P120" s="304"/>
      <c r="Q120" s="304"/>
      <c r="R120" s="304"/>
      <c r="S120" s="304"/>
      <c r="T120" s="304"/>
      <c r="U120" s="304"/>
      <c r="V120" s="289"/>
      <c r="W120" s="289"/>
      <c r="X120" s="289"/>
      <c r="Y120" s="298"/>
      <c r="Z120" s="298"/>
      <c r="AA120" s="298"/>
      <c r="AB120" s="298"/>
      <c r="AC120" s="298"/>
      <c r="AD120" s="298"/>
      <c r="AE120" s="298"/>
      <c r="AF120" s="298"/>
      <c r="AG120" s="298"/>
      <c r="AH120" s="298"/>
      <c r="AI120" s="298"/>
      <c r="AJ120" s="298"/>
      <c r="AK120" s="298"/>
      <c r="AL120" s="298"/>
      <c r="AM120" s="298"/>
      <c r="AN120" s="298"/>
      <c r="AO120" s="298"/>
      <c r="AP120" s="298"/>
      <c r="AQ120" s="298"/>
      <c r="AR120" s="298"/>
      <c r="AS120" s="298"/>
      <c r="AT120" s="298"/>
      <c r="AU120" s="298"/>
      <c r="AV120" s="298"/>
      <c r="AW120" s="298"/>
      <c r="AX120" s="298"/>
      <c r="AY120" s="298"/>
      <c r="AZ120" s="298"/>
      <c r="BA120" s="298"/>
      <c r="BB120" s="298"/>
      <c r="BC120" s="298"/>
      <c r="BD120" s="298"/>
      <c r="BE120" s="298"/>
      <c r="BF120" s="298"/>
      <c r="BG120" s="298"/>
      <c r="BH120" s="298"/>
      <c r="BI120" s="298"/>
      <c r="BJ120" s="298"/>
      <c r="BK120" s="298"/>
      <c r="BL120" s="298"/>
      <c r="BM120" s="298"/>
      <c r="BN120" s="298"/>
      <c r="BO120" s="298"/>
      <c r="BP120" s="298"/>
      <c r="BQ120" s="298"/>
      <c r="BR120" s="298"/>
      <c r="BS120" s="298"/>
      <c r="BT120" s="298"/>
    </row>
    <row r="121" ht="12.75" customHeight="1">
      <c r="A121" s="296"/>
      <c r="B121" s="291" t="s">
        <v>183</v>
      </c>
      <c r="C121" s="305" t="s">
        <v>184</v>
      </c>
      <c r="D121" s="305" t="s">
        <v>186</v>
      </c>
      <c r="E121" s="306" t="s">
        <v>187</v>
      </c>
      <c r="F121" s="305" t="s">
        <v>188</v>
      </c>
      <c r="G121" s="305" t="s">
        <v>189</v>
      </c>
      <c r="H121" s="305" t="s">
        <v>84</v>
      </c>
      <c r="I121" s="289"/>
      <c r="J121" s="289"/>
      <c r="K121" s="289"/>
      <c r="L121" s="298"/>
      <c r="M121" s="289"/>
      <c r="N121" s="296"/>
      <c r="O121" s="291" t="s">
        <v>183</v>
      </c>
      <c r="P121" s="305" t="s">
        <v>184</v>
      </c>
      <c r="Q121" s="305" t="s">
        <v>186</v>
      </c>
      <c r="R121" s="306" t="s">
        <v>187</v>
      </c>
      <c r="S121" s="305" t="s">
        <v>188</v>
      </c>
      <c r="T121" s="305" t="s">
        <v>189</v>
      </c>
      <c r="U121" s="305" t="s">
        <v>84</v>
      </c>
      <c r="V121" s="289"/>
      <c r="W121" s="289"/>
      <c r="X121" s="289"/>
      <c r="Y121" s="298"/>
      <c r="Z121" s="298"/>
      <c r="AA121" s="298"/>
      <c r="AB121" s="298"/>
      <c r="AC121" s="298"/>
      <c r="AD121" s="298"/>
      <c r="AE121" s="298"/>
      <c r="AF121" s="298"/>
      <c r="AG121" s="298"/>
      <c r="AH121" s="298"/>
      <c r="AI121" s="298"/>
      <c r="AJ121" s="298"/>
      <c r="AK121" s="298"/>
      <c r="AL121" s="298"/>
      <c r="AM121" s="298"/>
      <c r="AN121" s="298"/>
      <c r="AO121" s="298"/>
      <c r="AP121" s="298"/>
      <c r="AQ121" s="298"/>
      <c r="AR121" s="298"/>
      <c r="AS121" s="298"/>
      <c r="AT121" s="298"/>
      <c r="AU121" s="298"/>
      <c r="AV121" s="298"/>
      <c r="AW121" s="298"/>
      <c r="AX121" s="298"/>
      <c r="AY121" s="298"/>
      <c r="AZ121" s="298"/>
      <c r="BA121" s="298"/>
      <c r="BB121" s="298"/>
      <c r="BC121" s="298"/>
      <c r="BD121" s="298"/>
      <c r="BE121" s="298"/>
      <c r="BF121" s="298"/>
      <c r="BG121" s="298"/>
      <c r="BH121" s="298"/>
      <c r="BI121" s="298"/>
      <c r="BJ121" s="298"/>
      <c r="BK121" s="298"/>
      <c r="BL121" s="298"/>
      <c r="BM121" s="298"/>
      <c r="BN121" s="298"/>
      <c r="BO121" s="298"/>
      <c r="BP121" s="298"/>
      <c r="BQ121" s="298"/>
      <c r="BR121" s="298"/>
      <c r="BS121" s="298"/>
      <c r="BT121" s="298"/>
    </row>
    <row r="122" ht="12.75" customHeight="1">
      <c r="A122" s="296"/>
      <c r="B122" s="295">
        <f>COUNTIF(B265:AG269,B121)</f>
        <v>0</v>
      </c>
      <c r="C122" s="295">
        <f>COUNTIF(B265:AG269,C121)</f>
        <v>0</v>
      </c>
      <c r="D122" s="295">
        <f t="shared" ref="D122:E122" si="48">COUNTIF(B265:AG269,D121)</f>
        <v>0</v>
      </c>
      <c r="E122" s="295">
        <f t="shared" si="48"/>
        <v>0</v>
      </c>
      <c r="F122" s="295">
        <f>COUNTIF(B265:AG269,F121)</f>
        <v>0</v>
      </c>
      <c r="G122" s="295">
        <f>COUNTIF(B265:AG269,G121)</f>
        <v>0</v>
      </c>
      <c r="H122" s="295">
        <f t="shared" ref="H122:H123" si="50">SUM(B122:G122)</f>
        <v>0</v>
      </c>
      <c r="I122" s="289"/>
      <c r="J122" s="289"/>
      <c r="K122" s="289"/>
      <c r="L122" s="298"/>
      <c r="M122" s="289"/>
      <c r="N122" s="296"/>
      <c r="O122" s="295">
        <f>COUNTIF(V265:AT269,O121)</f>
        <v>0</v>
      </c>
      <c r="P122" s="295">
        <f>COUNTIF(V265:AT269,P121)</f>
        <v>0</v>
      </c>
      <c r="Q122" s="295">
        <f>COUNTIF(V265:AT269,Q121)</f>
        <v>0</v>
      </c>
      <c r="R122" s="295">
        <f>COUNTIF(V265:AU269,R121)</f>
        <v>0</v>
      </c>
      <c r="S122" s="295">
        <f>COUNTIF(V265:AT269,S121)</f>
        <v>0</v>
      </c>
      <c r="T122" s="295">
        <f>COUNTIF(V265:AT269,T121)</f>
        <v>0</v>
      </c>
      <c r="U122" s="295">
        <f t="shared" ref="U122:U123" si="52">SUM(O122:T122)</f>
        <v>0</v>
      </c>
      <c r="V122" s="289"/>
      <c r="W122" s="289"/>
      <c r="X122" s="289"/>
      <c r="Y122" s="298"/>
      <c r="Z122" s="298"/>
      <c r="AA122" s="298"/>
      <c r="AB122" s="298"/>
      <c r="AC122" s="298"/>
      <c r="AD122" s="298"/>
      <c r="AE122" s="298"/>
      <c r="AF122" s="298"/>
      <c r="AG122" s="298"/>
      <c r="AH122" s="298"/>
      <c r="AI122" s="298"/>
      <c r="AJ122" s="298"/>
      <c r="AK122" s="298"/>
      <c r="AL122" s="298"/>
      <c r="AM122" s="298"/>
      <c r="AN122" s="298"/>
      <c r="AO122" s="298"/>
      <c r="AP122" s="298"/>
      <c r="AQ122" s="298"/>
      <c r="AR122" s="298"/>
      <c r="AS122" s="298"/>
      <c r="AT122" s="298"/>
      <c r="AU122" s="298"/>
      <c r="AV122" s="298"/>
      <c r="AW122" s="298"/>
      <c r="AX122" s="298"/>
      <c r="AY122" s="298"/>
      <c r="AZ122" s="298"/>
      <c r="BA122" s="298"/>
      <c r="BB122" s="298"/>
      <c r="BC122" s="298"/>
      <c r="BD122" s="298"/>
      <c r="BE122" s="298"/>
      <c r="BF122" s="298"/>
      <c r="BG122" s="298"/>
      <c r="BH122" s="298"/>
      <c r="BI122" s="298"/>
      <c r="BJ122" s="298"/>
      <c r="BK122" s="298"/>
      <c r="BL122" s="298"/>
      <c r="BM122" s="298"/>
      <c r="BN122" s="298"/>
      <c r="BO122" s="298"/>
      <c r="BP122" s="298"/>
      <c r="BQ122" s="298"/>
      <c r="BR122" s="298"/>
      <c r="BS122" s="298"/>
      <c r="BT122" s="298"/>
    </row>
    <row r="123" ht="12.75" customHeight="1">
      <c r="A123" s="296"/>
      <c r="B123" s="297">
        <f>IF(H122&gt;0,B122/H122,0)</f>
        <v>0</v>
      </c>
      <c r="C123" s="297">
        <f>IF(H122&gt;0,C122/H122,0)</f>
        <v>0</v>
      </c>
      <c r="D123" s="297">
        <f t="shared" ref="D123:E123" si="49">IF(H122&gt;0,D122/H122,0)</f>
        <v>0</v>
      </c>
      <c r="E123" s="297">
        <f t="shared" si="49"/>
        <v>0</v>
      </c>
      <c r="F123" s="297">
        <f>IF(H122&gt;0,F122/H122,0)</f>
        <v>0</v>
      </c>
      <c r="G123" s="297">
        <f>IF(H122&gt;0,G122/H122,0)</f>
        <v>0</v>
      </c>
      <c r="H123" s="297">
        <f t="shared" si="50"/>
        <v>0</v>
      </c>
      <c r="I123" s="289"/>
      <c r="J123" s="289"/>
      <c r="K123" s="289"/>
      <c r="L123" s="298"/>
      <c r="M123" s="289"/>
      <c r="N123" s="296"/>
      <c r="O123" s="297">
        <f>IF(U122&gt;0,O122/U122,0)</f>
        <v>0</v>
      </c>
      <c r="P123" s="297">
        <f>IF(U122&gt;0,P122/U122,0)</f>
        <v>0</v>
      </c>
      <c r="Q123" s="297">
        <f t="shared" ref="Q123:R123" si="51">IF(U122&gt;0,Q122/U122,0)</f>
        <v>0</v>
      </c>
      <c r="R123" s="297">
        <f t="shared" si="51"/>
        <v>0</v>
      </c>
      <c r="S123" s="297">
        <f>IF(U122&gt;0,S122/U122,0)</f>
        <v>0</v>
      </c>
      <c r="T123" s="297">
        <f>IF(U122&gt;0,T122/U122,0)</f>
        <v>0</v>
      </c>
      <c r="U123" s="297">
        <f t="shared" si="52"/>
        <v>0</v>
      </c>
      <c r="V123" s="289"/>
      <c r="W123" s="289"/>
      <c r="X123" s="289"/>
      <c r="Y123" s="298"/>
      <c r="Z123" s="298"/>
      <c r="AA123" s="298"/>
      <c r="AB123" s="298"/>
      <c r="AC123" s="298"/>
      <c r="AD123" s="298"/>
      <c r="AE123" s="298"/>
      <c r="AF123" s="298"/>
      <c r="AG123" s="298"/>
      <c r="AH123" s="298"/>
      <c r="AI123" s="298"/>
      <c r="AJ123" s="298"/>
      <c r="AK123" s="298"/>
      <c r="AL123" s="298"/>
      <c r="AM123" s="298"/>
      <c r="AN123" s="298"/>
      <c r="AO123" s="298"/>
      <c r="AP123" s="298"/>
      <c r="AQ123" s="298"/>
      <c r="AR123" s="298"/>
      <c r="AS123" s="298"/>
      <c r="AT123" s="298"/>
      <c r="AU123" s="298"/>
      <c r="AV123" s="298"/>
      <c r="AW123" s="298"/>
      <c r="AX123" s="298"/>
      <c r="AY123" s="298"/>
      <c r="AZ123" s="298"/>
      <c r="BA123" s="298"/>
      <c r="BB123" s="298"/>
      <c r="BC123" s="298"/>
      <c r="BD123" s="298"/>
      <c r="BE123" s="298"/>
      <c r="BF123" s="298"/>
      <c r="BG123" s="298"/>
      <c r="BH123" s="298"/>
      <c r="BI123" s="298"/>
      <c r="BJ123" s="298"/>
      <c r="BK123" s="298"/>
      <c r="BL123" s="298"/>
      <c r="BM123" s="298"/>
      <c r="BN123" s="298"/>
      <c r="BO123" s="298"/>
      <c r="BP123" s="298"/>
      <c r="BQ123" s="298"/>
      <c r="BR123" s="298"/>
      <c r="BS123" s="298"/>
      <c r="BT123" s="298"/>
    </row>
    <row r="124" ht="12.7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98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98"/>
      <c r="Z124" s="298"/>
      <c r="AA124" s="298"/>
      <c r="AB124" s="298"/>
      <c r="AC124" s="298"/>
      <c r="AD124" s="298"/>
      <c r="AE124" s="298"/>
      <c r="AF124" s="298"/>
      <c r="AG124" s="298"/>
      <c r="AH124" s="298"/>
      <c r="AI124" s="298"/>
      <c r="AJ124" s="298"/>
      <c r="AK124" s="298"/>
      <c r="AL124" s="298"/>
      <c r="AM124" s="298"/>
      <c r="AN124" s="298"/>
      <c r="AO124" s="298"/>
      <c r="AP124" s="298"/>
      <c r="AQ124" s="298"/>
      <c r="AR124" s="298"/>
      <c r="AS124" s="298"/>
      <c r="AT124" s="298"/>
      <c r="AU124" s="298"/>
      <c r="AV124" s="298"/>
      <c r="AW124" s="298"/>
      <c r="AX124" s="298"/>
      <c r="AY124" s="298"/>
      <c r="AZ124" s="298"/>
      <c r="BA124" s="298"/>
      <c r="BB124" s="298"/>
      <c r="BC124" s="298"/>
      <c r="BD124" s="298"/>
      <c r="BE124" s="298"/>
      <c r="BF124" s="298"/>
      <c r="BG124" s="298"/>
      <c r="BH124" s="298"/>
      <c r="BI124" s="298"/>
      <c r="BJ124" s="298"/>
      <c r="BK124" s="298"/>
      <c r="BL124" s="298"/>
      <c r="BM124" s="298"/>
      <c r="BN124" s="298"/>
      <c r="BO124" s="298"/>
      <c r="BP124" s="298"/>
      <c r="BQ124" s="298"/>
      <c r="BR124" s="298"/>
      <c r="BS124" s="298"/>
      <c r="BT124" s="298"/>
    </row>
    <row r="125" ht="12.75" customHeight="1">
      <c r="L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  <c r="BB125" s="218"/>
      <c r="BC125" s="218"/>
      <c r="BD125" s="218"/>
      <c r="BE125" s="218"/>
      <c r="BF125" s="218"/>
      <c r="BG125" s="218"/>
      <c r="BH125" s="218"/>
      <c r="BI125" s="218"/>
      <c r="BJ125" s="218"/>
      <c r="BK125" s="218"/>
      <c r="BL125" s="218"/>
      <c r="BM125" s="218"/>
      <c r="BN125" s="218"/>
      <c r="BO125" s="218"/>
      <c r="BP125" s="218"/>
      <c r="BQ125" s="218"/>
      <c r="BR125" s="218"/>
      <c r="BS125" s="218"/>
      <c r="BT125" s="218"/>
    </row>
    <row r="126" ht="12.75" customHeight="1">
      <c r="A126" s="252"/>
      <c r="B126" s="253" t="s">
        <v>31</v>
      </c>
      <c r="C126" s="253" t="s">
        <v>70</v>
      </c>
      <c r="D126" s="253" t="s">
        <v>32</v>
      </c>
      <c r="E126" s="253" t="s">
        <v>68</v>
      </c>
      <c r="F126" s="253" t="s">
        <v>73</v>
      </c>
      <c r="G126" s="253" t="s">
        <v>71</v>
      </c>
      <c r="H126" s="253" t="s">
        <v>84</v>
      </c>
      <c r="I126" s="307"/>
      <c r="J126" s="308"/>
      <c r="K126" s="309" t="s">
        <v>47</v>
      </c>
      <c r="L126" s="253" t="s">
        <v>93</v>
      </c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  <c r="BB126" s="218"/>
      <c r="BC126" s="218"/>
      <c r="BD126" s="218"/>
      <c r="BE126" s="218"/>
      <c r="BF126" s="218"/>
      <c r="BG126" s="218"/>
      <c r="BH126" s="218"/>
      <c r="BI126" s="218"/>
      <c r="BJ126" s="218"/>
      <c r="BK126" s="218"/>
      <c r="BL126" s="218"/>
      <c r="BM126" s="218"/>
      <c r="BN126" s="218"/>
      <c r="BO126" s="218"/>
      <c r="BP126" s="218"/>
      <c r="BQ126" s="218"/>
      <c r="BR126" s="218"/>
      <c r="BS126" s="218"/>
      <c r="BT126" s="218"/>
    </row>
    <row r="127" ht="12.75" customHeight="1">
      <c r="A127" s="252"/>
      <c r="B127" s="255">
        <f>COUNTIF(B213:AG213,B126)</f>
        <v>0</v>
      </c>
      <c r="C127" s="255">
        <f t="shared" ref="C127:D127" si="53">COUNTIF(B213:AG213,C126)</f>
        <v>0</v>
      </c>
      <c r="D127" s="255">
        <f t="shared" si="53"/>
        <v>0</v>
      </c>
      <c r="E127" s="255">
        <f>COUNTIF(B213:AG213,E126)</f>
        <v>0</v>
      </c>
      <c r="F127" s="255">
        <f>COUNTIF(B213:AG213,F126)</f>
        <v>0</v>
      </c>
      <c r="G127" s="255">
        <f>COUNTIF(B213:AG213,G126)</f>
        <v>0</v>
      </c>
      <c r="H127" s="255">
        <f t="shared" ref="H127:H128" si="55">SUM(B127:G127)</f>
        <v>0</v>
      </c>
      <c r="I127" s="310"/>
      <c r="J127" s="311"/>
      <c r="K127" s="258">
        <f>COUNTIF(B213:AG213,K126)</f>
        <v>0</v>
      </c>
      <c r="L127" s="255">
        <f>COUNTIF(B213:AG213,L126)</f>
        <v>0</v>
      </c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  <c r="BB127" s="218"/>
      <c r="BC127" s="218"/>
      <c r="BD127" s="218"/>
      <c r="BE127" s="218"/>
      <c r="BF127" s="218"/>
      <c r="BG127" s="218"/>
      <c r="BH127" s="218"/>
      <c r="BI127" s="218"/>
      <c r="BJ127" s="218"/>
      <c r="BK127" s="218"/>
      <c r="BL127" s="218"/>
      <c r="BM127" s="218"/>
      <c r="BN127" s="218"/>
      <c r="BO127" s="218"/>
      <c r="BP127" s="218"/>
      <c r="BQ127" s="218"/>
      <c r="BR127" s="218"/>
      <c r="BS127" s="218"/>
      <c r="BT127" s="218"/>
    </row>
    <row r="128" ht="12.75" customHeight="1">
      <c r="A128" s="252"/>
      <c r="B128" s="262">
        <f>IF(H127&gt;0,B127/H127,0)</f>
        <v>0</v>
      </c>
      <c r="C128" s="262">
        <f t="shared" ref="C128:D128" si="54">IF(H127&gt;0,C127/H127,0)</f>
        <v>0</v>
      </c>
      <c r="D128" s="262">
        <f t="shared" si="54"/>
        <v>0</v>
      </c>
      <c r="E128" s="262">
        <f>IF(H127&gt;0,E127/H127,0)</f>
        <v>0</v>
      </c>
      <c r="F128" s="262">
        <f>IF(H127&gt;0,F127/H127,0)</f>
        <v>0</v>
      </c>
      <c r="G128" s="262">
        <f>IF(H127&gt;0,G127/H127,0)</f>
        <v>0</v>
      </c>
      <c r="H128" s="264">
        <f t="shared" si="55"/>
        <v>0</v>
      </c>
      <c r="I128" s="218"/>
      <c r="J128" s="218"/>
      <c r="K128" s="267"/>
      <c r="L128" s="267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  <c r="BB128" s="218"/>
      <c r="BC128" s="218"/>
      <c r="BD128" s="218"/>
      <c r="BE128" s="218"/>
      <c r="BF128" s="218"/>
      <c r="BG128" s="218"/>
      <c r="BH128" s="218"/>
      <c r="BI128" s="218"/>
      <c r="BJ128" s="218"/>
      <c r="BK128" s="218"/>
      <c r="BL128" s="218"/>
      <c r="BM128" s="218"/>
      <c r="BN128" s="218"/>
      <c r="BO128" s="218"/>
      <c r="BP128" s="218"/>
      <c r="BQ128" s="218"/>
      <c r="BR128" s="218"/>
      <c r="BS128" s="218"/>
      <c r="BT128" s="218"/>
    </row>
    <row r="129" ht="12.75" customHeight="1">
      <c r="A129" s="243" t="s">
        <v>127</v>
      </c>
      <c r="B129" s="266">
        <f>IF(H127&gt;0,(B127-G127)/H127,0)</f>
        <v>0</v>
      </c>
      <c r="C129" s="267"/>
      <c r="D129" s="268"/>
      <c r="E129" s="268"/>
      <c r="F129" s="268"/>
      <c r="G129" s="267"/>
      <c r="H129" s="218"/>
      <c r="I129" s="218"/>
      <c r="J129" s="218"/>
      <c r="K129" s="218"/>
      <c r="L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  <c r="BB129" s="218"/>
      <c r="BC129" s="218"/>
      <c r="BD129" s="218"/>
      <c r="BE129" s="218"/>
      <c r="BF129" s="218"/>
      <c r="BG129" s="218"/>
      <c r="BH129" s="218"/>
      <c r="BI129" s="218"/>
      <c r="BJ129" s="218"/>
      <c r="BK129" s="218"/>
      <c r="BL129" s="218"/>
      <c r="BM129" s="218"/>
      <c r="BN129" s="218"/>
      <c r="BO129" s="218"/>
      <c r="BP129" s="218"/>
      <c r="BQ129" s="218"/>
      <c r="BR129" s="218"/>
      <c r="BS129" s="218"/>
      <c r="BT129" s="218"/>
    </row>
    <row r="130" ht="12.75" customHeight="1">
      <c r="A130" s="243" t="s">
        <v>120</v>
      </c>
      <c r="B130" s="271">
        <f>IF(H127&gt;0,(B127+C127+D127)/H127,0)</f>
        <v>0</v>
      </c>
      <c r="C130" s="272"/>
      <c r="D130" s="218"/>
      <c r="E130" s="218"/>
      <c r="F130" s="218"/>
      <c r="G130" s="218"/>
      <c r="H130" s="218"/>
      <c r="I130" s="218"/>
      <c r="J130" s="218"/>
      <c r="K130" s="218"/>
      <c r="L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  <c r="BB130" s="218"/>
      <c r="BC130" s="218"/>
      <c r="BD130" s="218"/>
      <c r="BE130" s="218"/>
      <c r="BF130" s="218"/>
      <c r="BG130" s="218"/>
      <c r="BH130" s="218"/>
      <c r="BI130" s="218"/>
      <c r="BJ130" s="218"/>
      <c r="BK130" s="218"/>
      <c r="BL130" s="218"/>
      <c r="BM130" s="218"/>
      <c r="BN130" s="218"/>
      <c r="BO130" s="218"/>
      <c r="BP130" s="218"/>
      <c r="BQ130" s="218"/>
      <c r="BR130" s="218"/>
      <c r="BS130" s="218"/>
      <c r="BT130" s="218"/>
    </row>
    <row r="131" ht="12.75" customHeight="1">
      <c r="A131" s="218"/>
      <c r="B131" s="276"/>
      <c r="C131" s="272"/>
      <c r="D131" s="218"/>
      <c r="E131" s="218"/>
      <c r="F131" s="218"/>
      <c r="G131" s="218"/>
      <c r="H131" s="218"/>
      <c r="I131" s="225"/>
      <c r="J131" s="225"/>
      <c r="K131" s="225" t="s">
        <v>124</v>
      </c>
      <c r="L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  <c r="BB131" s="218"/>
      <c r="BC131" s="218"/>
      <c r="BD131" s="218"/>
      <c r="BE131" s="218"/>
      <c r="BF131" s="218"/>
      <c r="BG131" s="218"/>
      <c r="BH131" s="218"/>
      <c r="BI131" s="218"/>
      <c r="BJ131" s="218"/>
      <c r="BK131" s="218"/>
      <c r="BL131" s="218"/>
      <c r="BM131" s="218"/>
      <c r="BN131" s="218"/>
      <c r="BO131" s="218"/>
      <c r="BP131" s="218"/>
      <c r="BQ131" s="218"/>
      <c r="BR131" s="218"/>
      <c r="BS131" s="218"/>
      <c r="BT131" s="218"/>
    </row>
    <row r="132" ht="12.75" customHeight="1">
      <c r="A132" s="218"/>
      <c r="B132" s="250" t="s">
        <v>79</v>
      </c>
      <c r="C132" s="251"/>
      <c r="D132" s="251"/>
      <c r="E132" s="251"/>
      <c r="F132" s="251"/>
      <c r="G132" s="251"/>
      <c r="H132" s="218"/>
      <c r="I132" s="260"/>
      <c r="J132" s="260"/>
      <c r="K132" s="260" t="s">
        <v>78</v>
      </c>
      <c r="L132" s="261">
        <f>B134+B141+K127</f>
        <v>0</v>
      </c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  <c r="BB132" s="218"/>
      <c r="BC132" s="218"/>
      <c r="BD132" s="218"/>
      <c r="BE132" s="218"/>
      <c r="BF132" s="218"/>
      <c r="BG132" s="218"/>
      <c r="BH132" s="218"/>
      <c r="BI132" s="218"/>
      <c r="BJ132" s="218"/>
      <c r="BK132" s="218"/>
      <c r="BL132" s="218"/>
      <c r="BM132" s="218"/>
      <c r="BN132" s="218"/>
      <c r="BO132" s="218"/>
      <c r="BP132" s="218"/>
      <c r="BQ132" s="218"/>
      <c r="BR132" s="218"/>
      <c r="BS132" s="218"/>
      <c r="BT132" s="218"/>
    </row>
    <row r="133" ht="12.75" customHeight="1">
      <c r="A133" s="252"/>
      <c r="B133" s="253" t="s">
        <v>48</v>
      </c>
      <c r="C133" s="253" t="s">
        <v>26</v>
      </c>
      <c r="D133" s="253" t="s">
        <v>57</v>
      </c>
      <c r="E133" s="253" t="s">
        <v>46</v>
      </c>
      <c r="F133" s="253" t="s">
        <v>75</v>
      </c>
      <c r="G133" s="253" t="s">
        <v>29</v>
      </c>
      <c r="H133" s="253" t="s">
        <v>84</v>
      </c>
      <c r="I133" s="260"/>
      <c r="J133" s="260"/>
      <c r="K133" s="260" t="s">
        <v>125</v>
      </c>
      <c r="L133" s="261">
        <f>G141+G134</f>
        <v>0</v>
      </c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  <c r="BB133" s="218"/>
      <c r="BC133" s="218"/>
      <c r="BD133" s="218"/>
      <c r="BE133" s="218"/>
      <c r="BF133" s="218"/>
      <c r="BG133" s="218"/>
      <c r="BH133" s="218"/>
      <c r="BI133" s="218"/>
      <c r="BJ133" s="218"/>
      <c r="BK133" s="218"/>
      <c r="BL133" s="218"/>
      <c r="BM133" s="218"/>
      <c r="BN133" s="218"/>
      <c r="BO133" s="218"/>
      <c r="BP133" s="218"/>
      <c r="BQ133" s="218"/>
      <c r="BR133" s="218"/>
      <c r="BS133" s="218"/>
      <c r="BT133" s="218"/>
    </row>
    <row r="134" ht="12.75" customHeight="1">
      <c r="A134" s="252"/>
      <c r="B134" s="255">
        <f>COUNTIF(B213:AG213,B133)</f>
        <v>0</v>
      </c>
      <c r="C134" s="255">
        <f t="shared" ref="C134:D134" si="56">COUNTIF(B213:AG213,C133)</f>
        <v>0</v>
      </c>
      <c r="D134" s="255">
        <f t="shared" si="56"/>
        <v>0</v>
      </c>
      <c r="E134" s="255">
        <f>COUNTIF(B213:AG213,E133)</f>
        <v>0</v>
      </c>
      <c r="F134" s="255">
        <f>COUNTIF(B213:AG213,F133)</f>
        <v>0</v>
      </c>
      <c r="G134" s="255">
        <f>COUNTIF(B213:AG213,G133)</f>
        <v>0</v>
      </c>
      <c r="H134" s="255">
        <f t="shared" ref="H134:H135" si="58">SUM(B134:G134)</f>
        <v>0</v>
      </c>
      <c r="I134" s="260"/>
      <c r="J134" s="260"/>
      <c r="K134" s="260" t="s">
        <v>130</v>
      </c>
      <c r="L134" s="261">
        <f>G127</f>
        <v>0</v>
      </c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18"/>
      <c r="BL134" s="218"/>
      <c r="BM134" s="218"/>
      <c r="BN134" s="218"/>
      <c r="BO134" s="218"/>
      <c r="BP134" s="218"/>
      <c r="BQ134" s="218"/>
      <c r="BR134" s="218"/>
      <c r="BS134" s="218"/>
      <c r="BT134" s="218"/>
    </row>
    <row r="135" ht="12.75" customHeight="1">
      <c r="A135" s="252"/>
      <c r="B135" s="262">
        <f>IF(H134&gt;0,B134/H134,0)</f>
        <v>0</v>
      </c>
      <c r="C135" s="262">
        <f t="shared" ref="C135:D135" si="57">IF(G186&gt;0,C134/H134,0)</f>
        <v>0</v>
      </c>
      <c r="D135" s="262">
        <f t="shared" si="57"/>
        <v>0</v>
      </c>
      <c r="E135" s="262">
        <f>IF(H134&gt;0,E134/H134,0)</f>
        <v>0</v>
      </c>
      <c r="F135" s="262">
        <f>IF(G186&gt;0,F134/H134,0)</f>
        <v>0</v>
      </c>
      <c r="G135" s="262">
        <f>IF(G186&gt;0,G134/H134,0)</f>
        <v>0</v>
      </c>
      <c r="H135" s="262">
        <f t="shared" si="58"/>
        <v>0</v>
      </c>
      <c r="I135" s="260"/>
      <c r="J135" s="260"/>
      <c r="K135" s="260" t="s">
        <v>133</v>
      </c>
      <c r="L135" s="261">
        <f>F141</f>
        <v>0</v>
      </c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  <c r="BB135" s="218"/>
      <c r="BC135" s="218"/>
      <c r="BD135" s="218"/>
      <c r="BE135" s="218"/>
      <c r="BF135" s="218"/>
      <c r="BG135" s="218"/>
      <c r="BH135" s="218"/>
      <c r="BI135" s="218"/>
      <c r="BJ135" s="218"/>
      <c r="BK135" s="218"/>
      <c r="BL135" s="218"/>
      <c r="BM135" s="218"/>
      <c r="BN135" s="218"/>
      <c r="BO135" s="218"/>
      <c r="BP135" s="218"/>
      <c r="BQ135" s="218"/>
      <c r="BR135" s="218"/>
      <c r="BS135" s="218"/>
      <c r="BT135" s="218"/>
    </row>
    <row r="136" ht="12.75" customHeight="1">
      <c r="A136" s="243" t="s">
        <v>127</v>
      </c>
      <c r="B136" s="266">
        <f>IF(H134&gt;0,(B134-G134)/H134,0)</f>
        <v>0</v>
      </c>
      <c r="C136" s="267"/>
      <c r="D136" s="267"/>
      <c r="E136" s="267"/>
      <c r="F136" s="267"/>
      <c r="G136" s="267"/>
      <c r="H136" s="218"/>
      <c r="I136" s="260"/>
      <c r="J136" s="260"/>
      <c r="K136" s="260" t="s">
        <v>137</v>
      </c>
      <c r="L136" s="277">
        <f>B129</f>
        <v>0</v>
      </c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18"/>
      <c r="BL136" s="218"/>
      <c r="BM136" s="218"/>
      <c r="BN136" s="218"/>
      <c r="BO136" s="218"/>
      <c r="BP136" s="218"/>
      <c r="BQ136" s="218"/>
      <c r="BR136" s="218"/>
      <c r="BS136" s="218"/>
      <c r="BT136" s="218"/>
    </row>
    <row r="137" ht="12.75" customHeight="1">
      <c r="A137" s="243" t="s">
        <v>120</v>
      </c>
      <c r="B137" s="271">
        <f>IF(H134&gt;0,(B134+C134)/H134,0)</f>
        <v>0</v>
      </c>
      <c r="C137" s="218"/>
      <c r="D137" s="218"/>
      <c r="E137" s="218"/>
      <c r="F137" s="218"/>
      <c r="G137" s="218"/>
      <c r="H137" s="218"/>
      <c r="I137" s="260"/>
      <c r="J137" s="260"/>
      <c r="K137" s="260" t="s">
        <v>141</v>
      </c>
      <c r="L137" s="277">
        <f>B143</f>
        <v>0</v>
      </c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18"/>
      <c r="BL137" s="218"/>
      <c r="BM137" s="218"/>
      <c r="BN137" s="218"/>
      <c r="BO137" s="218"/>
      <c r="BP137" s="218"/>
      <c r="BQ137" s="218"/>
      <c r="BR137" s="218"/>
      <c r="BS137" s="218"/>
      <c r="BT137" s="218"/>
    </row>
    <row r="138" ht="12.75" customHeight="1">
      <c r="A138" s="218"/>
      <c r="B138" s="276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18"/>
      <c r="BL138" s="218"/>
      <c r="BM138" s="218"/>
      <c r="BN138" s="218"/>
      <c r="BO138" s="218"/>
      <c r="BP138" s="218"/>
      <c r="BQ138" s="218"/>
      <c r="BR138" s="218"/>
      <c r="BS138" s="218"/>
      <c r="BT138" s="218"/>
    </row>
    <row r="139" ht="12.75" customHeight="1">
      <c r="A139" s="218"/>
      <c r="B139" s="250" t="s">
        <v>81</v>
      </c>
      <c r="C139" s="251"/>
      <c r="D139" s="251"/>
      <c r="E139" s="251"/>
      <c r="F139" s="251"/>
      <c r="G139" s="251"/>
      <c r="H139" s="251"/>
      <c r="I139" s="218"/>
      <c r="J139" s="218"/>
      <c r="K139" s="218"/>
      <c r="L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  <c r="BB139" s="218"/>
      <c r="BC139" s="218"/>
      <c r="BD139" s="218"/>
      <c r="BE139" s="218"/>
      <c r="BF139" s="218"/>
      <c r="BG139" s="218"/>
      <c r="BH139" s="218"/>
      <c r="BI139" s="218"/>
      <c r="BJ139" s="218"/>
      <c r="BK139" s="218"/>
      <c r="BL139" s="218"/>
      <c r="BM139" s="218"/>
      <c r="BN139" s="218"/>
      <c r="BO139" s="218"/>
      <c r="BP139" s="218"/>
      <c r="BQ139" s="218"/>
      <c r="BR139" s="218"/>
      <c r="BS139" s="218"/>
      <c r="BT139" s="218"/>
    </row>
    <row r="140" ht="12.75" customHeight="1">
      <c r="A140" s="252"/>
      <c r="B140" s="253" t="s">
        <v>28</v>
      </c>
      <c r="C140" s="253" t="s">
        <v>51</v>
      </c>
      <c r="D140" s="253" t="s">
        <v>74</v>
      </c>
      <c r="E140" s="253" t="s">
        <v>69</v>
      </c>
      <c r="F140" s="253" t="s">
        <v>76</v>
      </c>
      <c r="G140" s="253" t="s">
        <v>54</v>
      </c>
      <c r="H140" s="253" t="s">
        <v>84</v>
      </c>
      <c r="I140" s="218"/>
      <c r="J140" s="218"/>
      <c r="K140" s="218"/>
      <c r="L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18"/>
      <c r="BL140" s="218"/>
      <c r="BM140" s="218"/>
      <c r="BN140" s="218"/>
      <c r="BO140" s="218"/>
      <c r="BP140" s="218"/>
      <c r="BQ140" s="218"/>
      <c r="BR140" s="218"/>
      <c r="BS140" s="218"/>
      <c r="BT140" s="218"/>
    </row>
    <row r="141" ht="12.75" customHeight="1">
      <c r="A141" s="252"/>
      <c r="B141" s="255">
        <f>COUNTIF(B213:AG213,B140)</f>
        <v>0</v>
      </c>
      <c r="C141" s="255">
        <f>COUNTIF(B213:AG213,C140)</f>
        <v>0</v>
      </c>
      <c r="D141" s="255">
        <f>COUNTIF(B213:AG213,D140)</f>
        <v>0</v>
      </c>
      <c r="E141" s="255">
        <f>COUNTIF(B213:AG213,E140)</f>
        <v>0</v>
      </c>
      <c r="F141" s="255">
        <f>COUNTIF(B213:AG213,F140)</f>
        <v>0</v>
      </c>
      <c r="G141" s="255">
        <f>COUNTIF(B213:AG213,G140)</f>
        <v>0</v>
      </c>
      <c r="H141" s="255">
        <f t="shared" ref="H141:H142" si="59">SUM(B141:G141)</f>
        <v>0</v>
      </c>
      <c r="I141" s="218"/>
      <c r="J141" s="218"/>
      <c r="K141" s="218"/>
      <c r="L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18"/>
      <c r="BL141" s="218"/>
      <c r="BM141" s="218"/>
      <c r="BN141" s="218"/>
      <c r="BO141" s="218"/>
      <c r="BP141" s="218"/>
      <c r="BQ141" s="218"/>
      <c r="BR141" s="218"/>
      <c r="BS141" s="218"/>
      <c r="BT141" s="218"/>
    </row>
    <row r="142" ht="12.75" customHeight="1">
      <c r="A142" s="252"/>
      <c r="B142" s="262">
        <f>IF(H141&gt;0,B141/H141,0)</f>
        <v>0</v>
      </c>
      <c r="C142" s="262">
        <f>IF(H141&gt;0,C141/H141,0)</f>
        <v>0</v>
      </c>
      <c r="D142" s="262">
        <f>IF(H141&gt;0,D141/H141,0)</f>
        <v>0</v>
      </c>
      <c r="E142" s="262">
        <f>IF(H141&gt;0,E141/H141,0)</f>
        <v>0</v>
      </c>
      <c r="F142" s="262">
        <f>IF(H141&gt;0,F141/H141,0)</f>
        <v>0</v>
      </c>
      <c r="G142" s="262">
        <f>IF(H141&gt;0,G141/H141,0)</f>
        <v>0</v>
      </c>
      <c r="H142" s="262">
        <f t="shared" si="59"/>
        <v>0</v>
      </c>
      <c r="I142" s="218"/>
      <c r="J142" s="218"/>
      <c r="K142" s="218"/>
      <c r="L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18"/>
      <c r="BL142" s="218"/>
      <c r="BM142" s="218"/>
      <c r="BN142" s="218"/>
      <c r="BO142" s="218"/>
      <c r="BP142" s="218"/>
      <c r="BQ142" s="218"/>
      <c r="BR142" s="218"/>
      <c r="BS142" s="218"/>
      <c r="BT142" s="218"/>
    </row>
    <row r="143" ht="12.75" customHeight="1">
      <c r="A143" s="243" t="s">
        <v>127</v>
      </c>
      <c r="B143" s="269">
        <f>IF(H141&gt;0,(B141-G141)/H141,0)</f>
        <v>0</v>
      </c>
      <c r="C143" s="267"/>
      <c r="D143" s="267"/>
      <c r="E143" s="267"/>
      <c r="F143" s="267"/>
      <c r="G143" s="267"/>
      <c r="H143" s="267"/>
      <c r="I143" s="218"/>
      <c r="J143" s="218"/>
      <c r="K143" s="218"/>
      <c r="L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18"/>
      <c r="BL143" s="218"/>
      <c r="BM143" s="218"/>
      <c r="BN143" s="218"/>
      <c r="BO143" s="218"/>
      <c r="BP143" s="218"/>
      <c r="BQ143" s="218"/>
      <c r="BR143" s="218"/>
      <c r="BS143" s="218"/>
      <c r="BT143" s="218"/>
    </row>
    <row r="144" ht="12.75" customHeight="1">
      <c r="A144" s="243" t="s">
        <v>120</v>
      </c>
      <c r="B144" s="244">
        <f>IF(H141&gt;0,(B141+C141+D141+E141)/H141,0)</f>
        <v>0</v>
      </c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18"/>
      <c r="BL144" s="218"/>
      <c r="BM144" s="218"/>
      <c r="BN144" s="218"/>
      <c r="BO144" s="218"/>
      <c r="BP144" s="218"/>
      <c r="BQ144" s="218"/>
      <c r="BR144" s="218"/>
      <c r="BS144" s="218"/>
      <c r="BT144" s="218"/>
    </row>
    <row r="145" ht="12.75" customHeight="1">
      <c r="L145" s="284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18"/>
      <c r="BL145" s="218"/>
      <c r="BM145" s="218"/>
      <c r="BN145" s="218"/>
      <c r="BO145" s="218"/>
      <c r="BP145" s="218"/>
      <c r="BQ145" s="218"/>
      <c r="BR145" s="218"/>
      <c r="BS145" s="218"/>
      <c r="BT145" s="218"/>
    </row>
    <row r="146" ht="12.75" customHeight="1">
      <c r="A146" s="289"/>
      <c r="B146" s="287" t="s">
        <v>179</v>
      </c>
      <c r="C146" s="304"/>
      <c r="D146" s="304"/>
      <c r="E146" s="304"/>
      <c r="F146" s="304"/>
      <c r="G146" s="304"/>
      <c r="H146" s="304"/>
      <c r="I146" s="289"/>
      <c r="J146" s="289"/>
      <c r="K146" s="289"/>
      <c r="L146" s="298"/>
      <c r="M146" s="289"/>
      <c r="N146" s="289"/>
      <c r="O146" s="314"/>
      <c r="P146" s="289"/>
      <c r="Q146" s="289"/>
      <c r="R146" s="289"/>
      <c r="S146" s="289"/>
      <c r="T146" s="289"/>
      <c r="U146" s="289"/>
      <c r="V146" s="289"/>
      <c r="W146" s="289"/>
      <c r="X146" s="289"/>
      <c r="Y146" s="298"/>
      <c r="Z146" s="298"/>
      <c r="AA146" s="298"/>
      <c r="AB146" s="298"/>
      <c r="AC146" s="298"/>
      <c r="AD146" s="298"/>
      <c r="AE146" s="298"/>
      <c r="AF146" s="298"/>
      <c r="AG146" s="298"/>
      <c r="AH146" s="298"/>
      <c r="AI146" s="298"/>
      <c r="AJ146" s="298"/>
      <c r="AK146" s="298"/>
      <c r="AL146" s="298"/>
      <c r="AM146" s="298"/>
      <c r="AN146" s="298"/>
      <c r="AO146" s="298"/>
      <c r="AP146" s="298"/>
      <c r="AQ146" s="298"/>
      <c r="AR146" s="298"/>
      <c r="AS146" s="298"/>
      <c r="AT146" s="298"/>
      <c r="AU146" s="298"/>
      <c r="AV146" s="298"/>
      <c r="AW146" s="298"/>
      <c r="AX146" s="298"/>
      <c r="AY146" s="298"/>
      <c r="AZ146" s="298"/>
      <c r="BA146" s="298"/>
      <c r="BB146" s="298"/>
      <c r="BC146" s="298"/>
      <c r="BD146" s="298"/>
      <c r="BE146" s="298"/>
      <c r="BF146" s="298"/>
      <c r="BG146" s="298"/>
      <c r="BH146" s="298"/>
      <c r="BI146" s="298"/>
      <c r="BJ146" s="298"/>
      <c r="BK146" s="298"/>
      <c r="BL146" s="298"/>
      <c r="BM146" s="298"/>
      <c r="BN146" s="298"/>
      <c r="BO146" s="298"/>
      <c r="BP146" s="298"/>
      <c r="BQ146" s="298"/>
      <c r="BR146" s="298"/>
      <c r="BS146" s="298"/>
      <c r="BT146" s="298"/>
    </row>
    <row r="147" ht="12.75" customHeight="1">
      <c r="A147" s="296"/>
      <c r="B147" s="291" t="s">
        <v>183</v>
      </c>
      <c r="C147" s="305" t="s">
        <v>184</v>
      </c>
      <c r="D147" s="305" t="s">
        <v>186</v>
      </c>
      <c r="E147" s="306" t="s">
        <v>187</v>
      </c>
      <c r="F147" s="305" t="s">
        <v>188</v>
      </c>
      <c r="G147" s="305" t="s">
        <v>189</v>
      </c>
      <c r="H147" s="305" t="s">
        <v>84</v>
      </c>
      <c r="I147" s="289"/>
      <c r="J147" s="289"/>
      <c r="K147" s="289"/>
      <c r="L147" s="298"/>
      <c r="M147" s="289"/>
      <c r="N147" s="289"/>
      <c r="O147" s="314"/>
      <c r="P147" s="289"/>
      <c r="Q147" s="289"/>
      <c r="R147" s="289"/>
      <c r="S147" s="289"/>
      <c r="T147" s="289"/>
      <c r="U147" s="289"/>
      <c r="V147" s="289"/>
      <c r="W147" s="289"/>
      <c r="X147" s="289"/>
      <c r="Y147" s="298"/>
      <c r="Z147" s="298"/>
      <c r="AA147" s="298"/>
      <c r="AB147" s="298"/>
      <c r="AC147" s="298"/>
      <c r="AD147" s="298"/>
      <c r="AE147" s="298"/>
      <c r="AF147" s="298"/>
      <c r="AG147" s="298"/>
      <c r="AH147" s="298"/>
      <c r="AI147" s="298"/>
      <c r="AJ147" s="298"/>
      <c r="AK147" s="298"/>
      <c r="AL147" s="298"/>
      <c r="AM147" s="298"/>
      <c r="AN147" s="298"/>
      <c r="AO147" s="298"/>
      <c r="AP147" s="298"/>
      <c r="AQ147" s="298"/>
      <c r="AR147" s="298"/>
      <c r="AS147" s="298"/>
      <c r="AT147" s="298"/>
      <c r="AU147" s="298"/>
      <c r="AV147" s="298"/>
      <c r="AW147" s="298"/>
      <c r="AX147" s="298"/>
      <c r="AY147" s="298"/>
      <c r="AZ147" s="298"/>
      <c r="BA147" s="298"/>
      <c r="BB147" s="298"/>
      <c r="BC147" s="298"/>
      <c r="BD147" s="298"/>
      <c r="BE147" s="298"/>
      <c r="BF147" s="298"/>
      <c r="BG147" s="298"/>
      <c r="BH147" s="298"/>
      <c r="BI147" s="298"/>
      <c r="BJ147" s="298"/>
      <c r="BK147" s="298"/>
      <c r="BL147" s="298"/>
      <c r="BM147" s="298"/>
      <c r="BN147" s="298"/>
      <c r="BO147" s="298"/>
      <c r="BP147" s="298"/>
      <c r="BQ147" s="298"/>
      <c r="BR147" s="298"/>
      <c r="BS147" s="298"/>
      <c r="BT147" s="298"/>
    </row>
    <row r="148" ht="12.75" customHeight="1">
      <c r="A148" s="296"/>
      <c r="B148" s="295">
        <f>COUNTIF(B291:AG295,B147)</f>
        <v>0</v>
      </c>
      <c r="C148" s="295">
        <f>COUNTIF(B291:AG295,C147)</f>
        <v>0</v>
      </c>
      <c r="D148" s="295">
        <f t="shared" ref="D148:E148" si="60">COUNTIF(B291:AG295,D147)</f>
        <v>0</v>
      </c>
      <c r="E148" s="295">
        <f t="shared" si="60"/>
        <v>0</v>
      </c>
      <c r="F148" s="295">
        <f>COUNTIF(B291:AG295,F147)</f>
        <v>0</v>
      </c>
      <c r="G148" s="295">
        <f>COUNTIF(B291:AG295,G147)</f>
        <v>0</v>
      </c>
      <c r="H148" s="295">
        <f t="shared" ref="H148:H149" si="62">SUM(B148:G148)</f>
        <v>0</v>
      </c>
      <c r="I148" s="289"/>
      <c r="J148" s="289"/>
      <c r="K148" s="289"/>
      <c r="L148" s="298"/>
      <c r="M148" s="289"/>
      <c r="N148" s="289"/>
      <c r="O148" s="314"/>
      <c r="P148" s="289"/>
      <c r="Q148" s="289"/>
      <c r="R148" s="289"/>
      <c r="S148" s="289"/>
      <c r="T148" s="289"/>
      <c r="U148" s="289"/>
      <c r="V148" s="289"/>
      <c r="W148" s="289"/>
      <c r="X148" s="289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G148" s="298"/>
      <c r="BH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</row>
    <row r="149" ht="12.75" customHeight="1">
      <c r="A149" s="296"/>
      <c r="B149" s="297">
        <f>IF(H148&gt;0,B148/H148,0)</f>
        <v>0</v>
      </c>
      <c r="C149" s="297">
        <f>IF(H148&gt;0,C148/H148,0)</f>
        <v>0</v>
      </c>
      <c r="D149" s="297">
        <f t="shared" ref="D149:E149" si="61">IF(H148&gt;0,D148/H148,0)</f>
        <v>0</v>
      </c>
      <c r="E149" s="297">
        <f t="shared" si="61"/>
        <v>0</v>
      </c>
      <c r="F149" s="297">
        <f>IF(H148&gt;0,F148/H148,0)</f>
        <v>0</v>
      </c>
      <c r="G149" s="297">
        <f>IF(H148&gt;0,G148/H148,0)</f>
        <v>0</v>
      </c>
      <c r="H149" s="297">
        <f t="shared" si="62"/>
        <v>0</v>
      </c>
      <c r="I149" s="289"/>
      <c r="J149" s="289"/>
      <c r="K149" s="289"/>
      <c r="L149" s="298"/>
      <c r="M149" s="289"/>
      <c r="N149" s="289"/>
      <c r="O149" s="314"/>
      <c r="P149" s="289"/>
      <c r="Q149" s="289"/>
      <c r="R149" s="289"/>
      <c r="S149" s="289"/>
      <c r="T149" s="289"/>
      <c r="U149" s="289"/>
      <c r="V149" s="289"/>
      <c r="W149" s="289"/>
      <c r="X149" s="289"/>
      <c r="Y149" s="298"/>
      <c r="Z149" s="298"/>
      <c r="AA149" s="298"/>
      <c r="AB149" s="298"/>
      <c r="AC149" s="298"/>
      <c r="AD149" s="298"/>
      <c r="AE149" s="298"/>
      <c r="AF149" s="298"/>
      <c r="AG149" s="298"/>
      <c r="AH149" s="298"/>
      <c r="AI149" s="298"/>
      <c r="AJ149" s="298"/>
      <c r="AK149" s="298"/>
      <c r="AL149" s="298"/>
      <c r="AM149" s="298"/>
      <c r="AN149" s="298"/>
      <c r="AO149" s="298"/>
      <c r="AP149" s="298"/>
      <c r="AQ149" s="298"/>
      <c r="AR149" s="298"/>
      <c r="AS149" s="298"/>
      <c r="AT149" s="298"/>
      <c r="AU149" s="298"/>
      <c r="AV149" s="298"/>
      <c r="AW149" s="298"/>
      <c r="AX149" s="298"/>
      <c r="AY149" s="298"/>
      <c r="AZ149" s="298"/>
      <c r="BA149" s="298"/>
      <c r="BB149" s="298"/>
      <c r="BC149" s="298"/>
      <c r="BD149" s="298"/>
      <c r="BE149" s="298"/>
      <c r="BF149" s="298"/>
      <c r="BG149" s="298"/>
      <c r="BH149" s="298"/>
      <c r="BI149" s="298"/>
      <c r="BJ149" s="298"/>
      <c r="BK149" s="298"/>
      <c r="BL149" s="298"/>
      <c r="BM149" s="298"/>
      <c r="BN149" s="298"/>
      <c r="BO149" s="298"/>
      <c r="BP149" s="298"/>
      <c r="BQ149" s="298"/>
      <c r="BR149" s="298"/>
      <c r="BS149" s="298"/>
      <c r="BT149" s="298"/>
    </row>
    <row r="150" ht="12.7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98"/>
      <c r="M150" s="289"/>
      <c r="N150" s="289"/>
      <c r="O150" s="314"/>
      <c r="P150" s="289"/>
      <c r="Q150" s="289"/>
      <c r="R150" s="289"/>
      <c r="S150" s="289"/>
      <c r="T150" s="289"/>
      <c r="U150" s="289"/>
      <c r="V150" s="289"/>
      <c r="W150" s="289"/>
      <c r="X150" s="289"/>
      <c r="Y150" s="298"/>
      <c r="Z150" s="298"/>
      <c r="AA150" s="298"/>
      <c r="AB150" s="298"/>
      <c r="AC150" s="298"/>
      <c r="AD150" s="298"/>
      <c r="AE150" s="298"/>
      <c r="AF150" s="298"/>
      <c r="AG150" s="298"/>
      <c r="AH150" s="298"/>
      <c r="AI150" s="298"/>
      <c r="AJ150" s="298"/>
      <c r="AK150" s="298"/>
      <c r="AL150" s="298"/>
      <c r="AM150" s="298"/>
      <c r="AN150" s="298"/>
      <c r="AO150" s="298"/>
      <c r="AP150" s="298"/>
      <c r="AQ150" s="298"/>
      <c r="AR150" s="298"/>
      <c r="AS150" s="298"/>
      <c r="AT150" s="298"/>
      <c r="AU150" s="298"/>
      <c r="AV150" s="298"/>
      <c r="AW150" s="298"/>
      <c r="AX150" s="298"/>
      <c r="AY150" s="298"/>
      <c r="AZ150" s="298"/>
      <c r="BA150" s="298"/>
      <c r="BB150" s="298"/>
      <c r="BC150" s="298"/>
      <c r="BD150" s="298"/>
      <c r="BE150" s="298"/>
      <c r="BF150" s="298"/>
      <c r="BG150" s="298"/>
      <c r="BH150" s="298"/>
      <c r="BI150" s="298"/>
      <c r="BJ150" s="298"/>
      <c r="BK150" s="298"/>
      <c r="BL150" s="298"/>
      <c r="BM150" s="298"/>
      <c r="BN150" s="298"/>
      <c r="BO150" s="298"/>
      <c r="BP150" s="298"/>
      <c r="BQ150" s="298"/>
      <c r="BR150" s="298"/>
      <c r="BS150" s="298"/>
      <c r="BT150" s="298"/>
    </row>
    <row r="151" ht="12.75" customHeight="1">
      <c r="L151" s="218"/>
      <c r="N151" s="289"/>
      <c r="O151" s="314"/>
      <c r="P151" s="289"/>
      <c r="Q151" s="289"/>
      <c r="R151" s="289"/>
      <c r="S151" s="289"/>
      <c r="T151" s="289"/>
      <c r="U151" s="289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18"/>
      <c r="BL151" s="218"/>
      <c r="BM151" s="218"/>
      <c r="BN151" s="218"/>
      <c r="BO151" s="218"/>
      <c r="BP151" s="218"/>
      <c r="BQ151" s="218"/>
      <c r="BR151" s="218"/>
      <c r="BS151" s="218"/>
      <c r="BT151" s="218"/>
    </row>
    <row r="152" ht="12.75" customHeight="1">
      <c r="N152" s="289"/>
      <c r="O152" s="315"/>
      <c r="P152" s="316"/>
      <c r="Q152" s="316"/>
      <c r="R152" s="289"/>
      <c r="S152" s="316"/>
      <c r="T152" s="316"/>
      <c r="U152" s="316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18"/>
      <c r="BL152" s="218"/>
      <c r="BM152" s="218"/>
      <c r="BN152" s="218"/>
      <c r="BO152" s="218"/>
      <c r="BP152" s="218"/>
      <c r="BQ152" s="218"/>
      <c r="BR152" s="218"/>
      <c r="BS152" s="218"/>
      <c r="BT152" s="218"/>
    </row>
    <row r="153" ht="12.75" customHeight="1">
      <c r="N153" s="289"/>
      <c r="O153" s="317"/>
      <c r="P153" s="317"/>
      <c r="Q153" s="317"/>
      <c r="R153" s="317"/>
      <c r="S153" s="317"/>
      <c r="T153" s="317"/>
      <c r="U153" s="317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18"/>
      <c r="BL153" s="218"/>
      <c r="BM153" s="218"/>
      <c r="BN153" s="218"/>
      <c r="BO153" s="218"/>
      <c r="BP153" s="218"/>
      <c r="BQ153" s="218"/>
      <c r="BR153" s="218"/>
      <c r="BS153" s="218"/>
      <c r="BT153" s="218"/>
    </row>
    <row r="154" ht="12.75" customHeight="1">
      <c r="N154" s="289"/>
      <c r="O154" s="318"/>
      <c r="P154" s="318"/>
      <c r="Q154" s="318"/>
      <c r="R154" s="318"/>
      <c r="S154" s="318"/>
      <c r="T154" s="318"/>
      <c r="U154" s="3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18"/>
      <c r="BL154" s="218"/>
      <c r="BM154" s="218"/>
      <c r="BN154" s="218"/>
      <c r="BO154" s="218"/>
      <c r="BP154" s="218"/>
      <c r="BQ154" s="218"/>
      <c r="BR154" s="218"/>
      <c r="BS154" s="218"/>
      <c r="BT154" s="218"/>
    </row>
    <row r="155" ht="12.75" customHeight="1">
      <c r="N155" s="289"/>
      <c r="O155" s="289"/>
      <c r="P155" s="289"/>
      <c r="Q155" s="289"/>
      <c r="R155" s="289"/>
      <c r="S155" s="289"/>
      <c r="T155" s="289"/>
      <c r="U155" s="289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18"/>
      <c r="BL155" s="218"/>
      <c r="BM155" s="218"/>
      <c r="BN155" s="218"/>
      <c r="BO155" s="218"/>
      <c r="BP155" s="218"/>
      <c r="BQ155" s="218"/>
      <c r="BR155" s="218"/>
      <c r="BS155" s="218"/>
      <c r="BT155" s="218"/>
    </row>
    <row r="156" ht="12.75" customHeight="1"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18"/>
      <c r="BL156" s="218"/>
      <c r="BM156" s="218"/>
      <c r="BN156" s="218"/>
      <c r="BO156" s="218"/>
      <c r="BP156" s="218"/>
      <c r="BQ156" s="218"/>
      <c r="BR156" s="218"/>
      <c r="BS156" s="218"/>
      <c r="BT156" s="218"/>
    </row>
    <row r="157" ht="12.75" customHeight="1"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  <c r="BB157" s="218"/>
      <c r="BC157" s="218"/>
      <c r="BD157" s="218"/>
      <c r="BE157" s="218"/>
      <c r="BF157" s="218"/>
      <c r="BG157" s="218"/>
      <c r="BH157" s="218"/>
      <c r="BI157" s="218"/>
      <c r="BJ157" s="218"/>
      <c r="BK157" s="218"/>
      <c r="BL157" s="218"/>
      <c r="BM157" s="218"/>
      <c r="BN157" s="218"/>
      <c r="BO157" s="218"/>
      <c r="BP157" s="218"/>
      <c r="BQ157" s="218"/>
      <c r="BR157" s="218"/>
      <c r="BS157" s="218"/>
      <c r="BT157" s="218"/>
    </row>
    <row r="158" ht="12.75" customHeight="1"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18"/>
      <c r="BL158" s="218"/>
      <c r="BM158" s="218"/>
      <c r="BN158" s="218"/>
      <c r="BO158" s="218"/>
      <c r="BP158" s="218"/>
      <c r="BQ158" s="218"/>
      <c r="BR158" s="218"/>
      <c r="BS158" s="218"/>
      <c r="BT158" s="218"/>
    </row>
    <row r="159" ht="12.75" customHeight="1"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18"/>
      <c r="BL159" s="218"/>
      <c r="BM159" s="218"/>
      <c r="BN159" s="218"/>
      <c r="BO159" s="218"/>
      <c r="BP159" s="218"/>
      <c r="BQ159" s="218"/>
      <c r="BR159" s="218"/>
      <c r="BS159" s="218"/>
      <c r="BT159" s="218"/>
    </row>
    <row r="160" ht="12.75" customHeight="1"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18"/>
      <c r="BL160" s="218"/>
      <c r="BM160" s="218"/>
      <c r="BN160" s="218"/>
      <c r="BO160" s="218"/>
      <c r="BP160" s="218"/>
      <c r="BQ160" s="218"/>
      <c r="BR160" s="218"/>
      <c r="BS160" s="218"/>
      <c r="BT160" s="218"/>
    </row>
    <row r="161" ht="12.75" customHeight="1"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18"/>
      <c r="BL161" s="218"/>
      <c r="BM161" s="218"/>
      <c r="BN161" s="218"/>
      <c r="BO161" s="218"/>
      <c r="BP161" s="218"/>
      <c r="BQ161" s="218"/>
      <c r="BR161" s="218"/>
      <c r="BS161" s="218"/>
      <c r="BT161" s="218"/>
    </row>
    <row r="162" ht="12.75" customHeight="1">
      <c r="A162" s="284"/>
      <c r="B162" s="284"/>
      <c r="C162" s="284"/>
      <c r="D162" s="284"/>
      <c r="E162" s="284"/>
      <c r="F162" s="284"/>
      <c r="G162" s="284"/>
      <c r="H162" s="284"/>
      <c r="I162" s="284"/>
      <c r="J162" s="284"/>
      <c r="K162" s="218"/>
      <c r="L162" s="218"/>
      <c r="M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18"/>
      <c r="BL162" s="218"/>
      <c r="BM162" s="218"/>
      <c r="BN162" s="218"/>
      <c r="BO162" s="218"/>
      <c r="BP162" s="218"/>
      <c r="BQ162" s="218"/>
      <c r="BR162" s="218"/>
      <c r="BS162" s="218"/>
      <c r="BT162" s="218"/>
    </row>
    <row r="163" ht="12.75" customHeight="1">
      <c r="A163" s="218"/>
      <c r="B163" s="244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18"/>
      <c r="BL163" s="218"/>
      <c r="BM163" s="218"/>
      <c r="BN163" s="218"/>
      <c r="BO163" s="218"/>
      <c r="BP163" s="218"/>
      <c r="BQ163" s="218"/>
      <c r="BR163" s="218"/>
      <c r="BS163" s="218"/>
      <c r="BT163" s="218"/>
    </row>
    <row r="164" ht="12.75" customHeight="1">
      <c r="A164" s="284"/>
      <c r="B164" s="284"/>
      <c r="C164" s="284"/>
      <c r="D164" s="284"/>
      <c r="E164" s="284"/>
      <c r="F164" s="284"/>
      <c r="G164" s="284"/>
      <c r="H164" s="284"/>
      <c r="I164" s="284"/>
      <c r="J164" s="284"/>
      <c r="K164" s="218"/>
      <c r="L164" s="218"/>
      <c r="M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18"/>
      <c r="BL164" s="218"/>
      <c r="BM164" s="218"/>
      <c r="BN164" s="218"/>
      <c r="BO164" s="218"/>
      <c r="BP164" s="218"/>
      <c r="BQ164" s="218"/>
      <c r="BR164" s="218"/>
      <c r="BS164" s="218"/>
      <c r="BT164" s="218"/>
    </row>
    <row r="165" ht="12.75" customHeight="1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18"/>
      <c r="L165" s="218"/>
      <c r="M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18"/>
      <c r="BL165" s="218"/>
      <c r="BM165" s="218"/>
      <c r="BN165" s="218"/>
      <c r="BO165" s="218"/>
      <c r="BP165" s="218"/>
      <c r="BQ165" s="218"/>
      <c r="BR165" s="218"/>
      <c r="BS165" s="218"/>
      <c r="BT165" s="218"/>
    </row>
    <row r="166" ht="12.75" customHeight="1">
      <c r="A166" s="284"/>
      <c r="B166" s="284"/>
      <c r="C166" s="284"/>
      <c r="D166" s="284"/>
      <c r="E166" s="284"/>
      <c r="F166" s="284"/>
      <c r="G166" s="284"/>
      <c r="H166" s="284"/>
      <c r="I166" s="284"/>
      <c r="J166" s="284"/>
      <c r="K166" s="218"/>
      <c r="L166" s="218"/>
      <c r="M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  <c r="BB166" s="218"/>
      <c r="BC166" s="218"/>
      <c r="BD166" s="218"/>
      <c r="BE166" s="218"/>
      <c r="BF166" s="218"/>
      <c r="BG166" s="218"/>
      <c r="BH166" s="218"/>
      <c r="BI166" s="218"/>
      <c r="BJ166" s="218"/>
      <c r="BK166" s="218"/>
      <c r="BL166" s="218"/>
      <c r="BM166" s="218"/>
      <c r="BN166" s="218"/>
      <c r="BO166" s="218"/>
      <c r="BP166" s="218"/>
      <c r="BQ166" s="218"/>
      <c r="BR166" s="218"/>
      <c r="BS166" s="218"/>
      <c r="BT166" s="218"/>
    </row>
    <row r="167" ht="12.75" customHeight="1">
      <c r="A167" s="284"/>
      <c r="B167" s="284"/>
      <c r="C167" s="284"/>
      <c r="D167" s="284"/>
      <c r="E167" s="284"/>
      <c r="F167" s="284"/>
      <c r="G167" s="284"/>
      <c r="H167" s="284"/>
      <c r="I167" s="284"/>
      <c r="J167" s="284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18"/>
      <c r="BL167" s="218"/>
      <c r="BM167" s="218"/>
      <c r="BN167" s="218"/>
      <c r="BO167" s="218"/>
      <c r="BP167" s="218"/>
      <c r="BQ167" s="218"/>
      <c r="BR167" s="218"/>
      <c r="BS167" s="218"/>
      <c r="BT167" s="218"/>
    </row>
    <row r="168" ht="12.75" customHeight="1">
      <c r="A168" s="284"/>
      <c r="B168" s="284"/>
      <c r="C168" s="284"/>
      <c r="D168" s="284"/>
      <c r="E168" s="284"/>
      <c r="F168" s="284"/>
      <c r="G168" s="284"/>
      <c r="H168" s="284"/>
      <c r="I168" s="284"/>
      <c r="J168" s="284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18"/>
      <c r="BL168" s="218"/>
      <c r="BM168" s="218"/>
      <c r="BN168" s="218"/>
      <c r="BO168" s="218"/>
      <c r="BP168" s="218"/>
      <c r="BQ168" s="218"/>
      <c r="BR168" s="218"/>
      <c r="BS168" s="218"/>
      <c r="BT168" s="218"/>
    </row>
    <row r="169" ht="12.75" customHeight="1">
      <c r="A169" s="284"/>
      <c r="B169" s="284"/>
      <c r="C169" s="284"/>
      <c r="D169" s="284"/>
      <c r="E169" s="284"/>
      <c r="F169" s="284"/>
      <c r="G169" s="284"/>
      <c r="H169" s="284"/>
      <c r="I169" s="284"/>
      <c r="J169" s="284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18"/>
      <c r="BL169" s="218"/>
      <c r="BM169" s="218"/>
      <c r="BN169" s="218"/>
      <c r="BO169" s="218"/>
      <c r="BP169" s="218"/>
      <c r="BQ169" s="218"/>
      <c r="BR169" s="218"/>
      <c r="BS169" s="218"/>
      <c r="BT169" s="218"/>
    </row>
    <row r="170" ht="12.75" customHeight="1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18"/>
      <c r="BL170" s="218"/>
      <c r="BM170" s="218"/>
      <c r="BN170" s="218"/>
      <c r="BO170" s="218"/>
      <c r="BP170" s="218"/>
      <c r="BQ170" s="218"/>
      <c r="BR170" s="218"/>
      <c r="BS170" s="218"/>
      <c r="BT170" s="218"/>
    </row>
    <row r="171" ht="12.75" customHeight="1">
      <c r="A171" s="284"/>
      <c r="B171" s="284"/>
      <c r="C171" s="284"/>
      <c r="D171" s="284"/>
      <c r="E171" s="284"/>
      <c r="F171" s="284"/>
      <c r="G171" s="284"/>
      <c r="H171" s="284"/>
      <c r="I171" s="284"/>
      <c r="J171" s="284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18"/>
      <c r="BL171" s="218"/>
      <c r="BM171" s="218"/>
      <c r="BN171" s="218"/>
      <c r="BO171" s="218"/>
      <c r="BP171" s="218"/>
      <c r="BQ171" s="218"/>
      <c r="BR171" s="218"/>
      <c r="BS171" s="218"/>
      <c r="BT171" s="218"/>
    </row>
    <row r="172" ht="12.75" customHeight="1">
      <c r="A172" s="284"/>
      <c r="B172" s="284"/>
      <c r="C172" s="284"/>
      <c r="D172" s="284"/>
      <c r="E172" s="284"/>
      <c r="F172" s="284"/>
      <c r="G172" s="284"/>
      <c r="H172" s="284"/>
      <c r="I172" s="284"/>
      <c r="J172" s="284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18"/>
      <c r="BL172" s="218"/>
      <c r="BM172" s="218"/>
      <c r="BN172" s="218"/>
      <c r="BO172" s="218"/>
      <c r="BP172" s="218"/>
      <c r="BQ172" s="218"/>
      <c r="BR172" s="218"/>
      <c r="BS172" s="218"/>
      <c r="BT172" s="218"/>
    </row>
    <row r="173" ht="12.75" customHeight="1">
      <c r="A173" s="284"/>
      <c r="B173" s="284"/>
      <c r="C173" s="284"/>
      <c r="D173" s="284"/>
      <c r="E173" s="284"/>
      <c r="F173" s="284"/>
      <c r="G173" s="284"/>
      <c r="H173" s="284"/>
      <c r="I173" s="284"/>
      <c r="J173" s="284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18"/>
      <c r="BL173" s="218"/>
      <c r="BM173" s="218"/>
      <c r="BN173" s="218"/>
      <c r="BO173" s="218"/>
      <c r="BP173" s="218"/>
      <c r="BQ173" s="218"/>
      <c r="BR173" s="218"/>
      <c r="BS173" s="218"/>
      <c r="BT173" s="218"/>
    </row>
    <row r="174" ht="12.75" customHeight="1">
      <c r="A174" s="284"/>
      <c r="B174" s="284"/>
      <c r="C174" s="284"/>
      <c r="D174" s="284"/>
      <c r="E174" s="284"/>
      <c r="F174" s="284"/>
      <c r="G174" s="284"/>
      <c r="H174" s="284"/>
      <c r="I174" s="284"/>
      <c r="J174" s="284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18"/>
      <c r="BL174" s="218"/>
      <c r="BM174" s="218"/>
      <c r="BN174" s="218"/>
      <c r="BO174" s="218"/>
      <c r="BP174" s="218"/>
      <c r="BQ174" s="218"/>
      <c r="BR174" s="218"/>
      <c r="BS174" s="218"/>
      <c r="BT174" s="218"/>
    </row>
    <row r="175" ht="12.75" customHeight="1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  <c r="BB175" s="218"/>
      <c r="BC175" s="218"/>
      <c r="BD175" s="218"/>
      <c r="BE175" s="218"/>
      <c r="BF175" s="218"/>
      <c r="BG175" s="218"/>
      <c r="BH175" s="218"/>
      <c r="BI175" s="218"/>
      <c r="BJ175" s="218"/>
      <c r="BK175" s="218"/>
      <c r="BL175" s="218"/>
      <c r="BM175" s="218"/>
      <c r="BN175" s="218"/>
      <c r="BO175" s="218"/>
      <c r="BP175" s="218"/>
      <c r="BQ175" s="218"/>
      <c r="BR175" s="218"/>
      <c r="BS175" s="218"/>
      <c r="BT175" s="218"/>
    </row>
    <row r="176" ht="12.75" customHeight="1">
      <c r="A176" s="284"/>
      <c r="B176" s="284"/>
      <c r="C176" s="284"/>
      <c r="D176" s="284"/>
      <c r="E176" s="284"/>
      <c r="F176" s="284"/>
      <c r="G176" s="284"/>
      <c r="H176" s="284"/>
      <c r="I176" s="284"/>
      <c r="J176" s="284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18"/>
      <c r="BL176" s="218"/>
      <c r="BM176" s="218"/>
      <c r="BN176" s="218"/>
      <c r="BO176" s="218"/>
      <c r="BP176" s="218"/>
      <c r="BQ176" s="218"/>
      <c r="BR176" s="218"/>
      <c r="BS176" s="218"/>
      <c r="BT176" s="218"/>
    </row>
    <row r="177" ht="12.75" customHeight="1">
      <c r="A177" s="284"/>
      <c r="B177" s="284"/>
      <c r="C177" s="284"/>
      <c r="D177" s="284"/>
      <c r="E177" s="284"/>
      <c r="F177" s="284"/>
      <c r="G177" s="284"/>
      <c r="H177" s="284"/>
      <c r="I177" s="284"/>
      <c r="J177" s="284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18"/>
      <c r="BL177" s="218"/>
      <c r="BM177" s="218"/>
      <c r="BN177" s="218"/>
      <c r="BO177" s="218"/>
      <c r="BP177" s="218"/>
      <c r="BQ177" s="218"/>
      <c r="BR177" s="218"/>
      <c r="BS177" s="218"/>
      <c r="BT177" s="218"/>
    </row>
    <row r="178" ht="12.75" customHeight="1">
      <c r="A178" s="284"/>
      <c r="B178" s="284"/>
      <c r="C178" s="284"/>
      <c r="D178" s="284"/>
      <c r="E178" s="284"/>
      <c r="F178" s="284"/>
      <c r="G178" s="284"/>
      <c r="H178" s="284"/>
      <c r="I178" s="284"/>
      <c r="J178" s="284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18"/>
      <c r="BL178" s="218"/>
      <c r="BM178" s="218"/>
      <c r="BN178" s="218"/>
      <c r="BO178" s="218"/>
      <c r="BP178" s="218"/>
      <c r="BQ178" s="218"/>
      <c r="BR178" s="218"/>
      <c r="BS178" s="218"/>
      <c r="BT178" s="218"/>
    </row>
    <row r="179" ht="12.75" customHeight="1">
      <c r="A179" s="284"/>
      <c r="B179" s="284"/>
      <c r="C179" s="284"/>
      <c r="D179" s="284"/>
      <c r="E179" s="284"/>
      <c r="F179" s="284"/>
      <c r="G179" s="284"/>
      <c r="H179" s="284"/>
      <c r="I179" s="284"/>
      <c r="J179" s="284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18"/>
      <c r="BL179" s="218"/>
      <c r="BM179" s="218"/>
      <c r="BN179" s="218"/>
      <c r="BO179" s="218"/>
      <c r="BP179" s="218"/>
      <c r="BQ179" s="218"/>
      <c r="BR179" s="218"/>
      <c r="BS179" s="218"/>
      <c r="BT179" s="218"/>
    </row>
    <row r="180" ht="12.75" customHeight="1">
      <c r="A180" s="284"/>
      <c r="B180" s="284"/>
      <c r="C180" s="284"/>
      <c r="D180" s="284"/>
      <c r="E180" s="284"/>
      <c r="F180" s="284"/>
      <c r="G180" s="284"/>
      <c r="H180" s="284"/>
      <c r="I180" s="284"/>
      <c r="J180" s="284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18"/>
      <c r="BL180" s="218"/>
      <c r="BM180" s="218"/>
      <c r="BN180" s="218"/>
      <c r="BO180" s="218"/>
      <c r="BP180" s="218"/>
      <c r="BQ180" s="218"/>
      <c r="BR180" s="218"/>
      <c r="BS180" s="218"/>
      <c r="BT180" s="218"/>
    </row>
    <row r="181" ht="12.75" customHeight="1">
      <c r="A181" s="284"/>
      <c r="B181" s="284"/>
      <c r="C181" s="284"/>
      <c r="D181" s="284"/>
      <c r="E181" s="284"/>
      <c r="F181" s="284"/>
      <c r="G181" s="284"/>
      <c r="H181" s="284"/>
      <c r="I181" s="284"/>
      <c r="J181" s="284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18"/>
      <c r="BL181" s="218"/>
      <c r="BM181" s="218"/>
      <c r="BN181" s="218"/>
      <c r="BO181" s="218"/>
      <c r="BP181" s="218"/>
      <c r="BQ181" s="218"/>
      <c r="BR181" s="218"/>
      <c r="BS181" s="218"/>
      <c r="BT181" s="218"/>
    </row>
    <row r="182" ht="12.75" customHeight="1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18"/>
      <c r="BL182" s="218"/>
      <c r="BM182" s="218"/>
      <c r="BN182" s="218"/>
      <c r="BO182" s="218"/>
      <c r="BP182" s="218"/>
      <c r="BQ182" s="218"/>
      <c r="BR182" s="218"/>
      <c r="BS182" s="218"/>
      <c r="BT182" s="218"/>
    </row>
    <row r="183" ht="12.75" customHeight="1">
      <c r="A183" s="284"/>
      <c r="B183" s="284"/>
      <c r="C183" s="284"/>
      <c r="D183" s="284"/>
      <c r="E183" s="284"/>
      <c r="F183" s="284"/>
      <c r="G183" s="284"/>
      <c r="H183" s="284"/>
      <c r="I183" s="284"/>
      <c r="J183" s="284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</row>
    <row r="184" ht="12.75" customHeight="1">
      <c r="A184" s="284"/>
      <c r="B184" s="284"/>
      <c r="C184" s="284"/>
      <c r="D184" s="284"/>
      <c r="E184" s="284"/>
      <c r="F184" s="284"/>
      <c r="G184" s="284"/>
      <c r="H184" s="284"/>
      <c r="I184" s="284"/>
      <c r="J184" s="284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</row>
    <row r="185" ht="12.75" customHeight="1">
      <c r="A185" s="218"/>
      <c r="B185" s="244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</row>
    <row r="186" ht="12.75" customHeight="1">
      <c r="A186" s="218"/>
      <c r="B186" s="225"/>
      <c r="C186" s="218"/>
      <c r="D186" s="218"/>
      <c r="E186" s="218"/>
      <c r="F186" s="218"/>
      <c r="G186" s="218"/>
      <c r="H186" s="218"/>
      <c r="I186" s="225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</row>
    <row r="187" ht="12.75" customHeight="1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</row>
    <row r="188" ht="12.75" customHeight="1">
      <c r="A188" s="284"/>
      <c r="B188" s="284"/>
      <c r="C188" s="284"/>
      <c r="D188" s="284"/>
      <c r="E188" s="284"/>
      <c r="F188" s="284"/>
      <c r="G188" s="284"/>
      <c r="H188" s="284"/>
      <c r="I188" s="284"/>
      <c r="J188" s="284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18"/>
      <c r="BL188" s="218"/>
      <c r="BM188" s="218"/>
      <c r="BN188" s="218"/>
      <c r="BO188" s="218"/>
      <c r="BP188" s="218"/>
      <c r="BQ188" s="218"/>
      <c r="BR188" s="218"/>
      <c r="BS188" s="218"/>
      <c r="BT188" s="218"/>
    </row>
    <row r="189" ht="12.75" customHeight="1">
      <c r="A189" s="284"/>
      <c r="B189" s="284"/>
      <c r="C189" s="284"/>
      <c r="D189" s="284"/>
      <c r="E189" s="284"/>
      <c r="F189" s="284"/>
      <c r="G189" s="284"/>
      <c r="H189" s="284"/>
      <c r="I189" s="284"/>
      <c r="J189" s="284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18"/>
      <c r="BL189" s="218"/>
      <c r="BM189" s="218"/>
      <c r="BN189" s="218"/>
      <c r="BO189" s="218"/>
      <c r="BP189" s="218"/>
      <c r="BQ189" s="218"/>
      <c r="BR189" s="218"/>
      <c r="BS189" s="218"/>
      <c r="BT189" s="218"/>
    </row>
    <row r="190" ht="12.75" customHeight="1">
      <c r="A190" s="284"/>
      <c r="B190" s="284"/>
      <c r="C190" s="284"/>
      <c r="D190" s="284"/>
      <c r="E190" s="284"/>
      <c r="F190" s="284"/>
      <c r="G190" s="284"/>
      <c r="H190" s="284"/>
      <c r="I190" s="284"/>
      <c r="J190" s="284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18"/>
      <c r="BL190" s="218"/>
      <c r="BM190" s="218"/>
      <c r="BN190" s="218"/>
      <c r="BO190" s="218"/>
      <c r="BP190" s="218"/>
      <c r="BQ190" s="218"/>
      <c r="BR190" s="218"/>
      <c r="BS190" s="218"/>
      <c r="BT190" s="218"/>
    </row>
    <row r="191" ht="12.75" customHeight="1">
      <c r="A191" s="284"/>
      <c r="B191" s="284"/>
      <c r="C191" s="284"/>
      <c r="D191" s="284"/>
      <c r="E191" s="284"/>
      <c r="F191" s="284"/>
      <c r="G191" s="284"/>
      <c r="H191" s="284"/>
      <c r="I191" s="284"/>
      <c r="J191" s="284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18"/>
      <c r="BL191" s="218"/>
      <c r="BM191" s="218"/>
      <c r="BN191" s="218"/>
      <c r="BO191" s="218"/>
      <c r="BP191" s="218"/>
      <c r="BQ191" s="218"/>
      <c r="BR191" s="218"/>
      <c r="BS191" s="218"/>
      <c r="BT191" s="218"/>
    </row>
    <row r="192" ht="12.75" customHeight="1">
      <c r="A192" s="284"/>
      <c r="B192" s="284"/>
      <c r="C192" s="284"/>
      <c r="D192" s="284"/>
      <c r="E192" s="284"/>
      <c r="F192" s="284"/>
      <c r="G192" s="284"/>
      <c r="H192" s="284"/>
      <c r="I192" s="284"/>
      <c r="J192" s="284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18"/>
      <c r="BL192" s="218"/>
      <c r="BM192" s="218"/>
      <c r="BN192" s="218"/>
      <c r="BO192" s="218"/>
      <c r="BP192" s="218"/>
      <c r="BQ192" s="218"/>
      <c r="BR192" s="218"/>
      <c r="BS192" s="218"/>
      <c r="BT192" s="218"/>
    </row>
    <row r="193" ht="12.75" customHeight="1">
      <c r="A193" s="284"/>
      <c r="B193" s="284"/>
      <c r="C193" s="284"/>
      <c r="D193" s="284"/>
      <c r="E193" s="284"/>
      <c r="F193" s="284"/>
      <c r="G193" s="284"/>
      <c r="H193" s="284"/>
      <c r="I193" s="284"/>
      <c r="J193" s="284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  <c r="BB193" s="218"/>
      <c r="BC193" s="218"/>
      <c r="BD193" s="218"/>
      <c r="BE193" s="218"/>
      <c r="BF193" s="218"/>
      <c r="BG193" s="218"/>
      <c r="BH193" s="218"/>
      <c r="BI193" s="218"/>
      <c r="BJ193" s="218"/>
      <c r="BK193" s="218"/>
      <c r="BL193" s="218"/>
      <c r="BM193" s="218"/>
      <c r="BN193" s="218"/>
      <c r="BO193" s="218"/>
      <c r="BP193" s="218"/>
      <c r="BQ193" s="218"/>
      <c r="BR193" s="218"/>
      <c r="BS193" s="218"/>
      <c r="BT193" s="218"/>
    </row>
    <row r="194" ht="12.75" customHeight="1">
      <c r="A194" s="284"/>
      <c r="B194" s="284"/>
      <c r="C194" s="284"/>
      <c r="D194" s="284"/>
      <c r="E194" s="284"/>
      <c r="F194" s="284"/>
      <c r="G194" s="284"/>
      <c r="H194" s="284"/>
      <c r="I194" s="284"/>
      <c r="J194" s="284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18"/>
      <c r="BL194" s="218"/>
      <c r="BM194" s="218"/>
      <c r="BN194" s="218"/>
      <c r="BO194" s="218"/>
      <c r="BP194" s="218"/>
      <c r="BQ194" s="218"/>
      <c r="BR194" s="218"/>
      <c r="BS194" s="218"/>
      <c r="BT194" s="218"/>
    </row>
    <row r="195" ht="12.75" customHeight="1">
      <c r="A195" s="284"/>
      <c r="B195" s="284"/>
      <c r="C195" s="284"/>
      <c r="D195" s="284"/>
      <c r="E195" s="284"/>
      <c r="F195" s="284"/>
      <c r="G195" s="284"/>
      <c r="H195" s="284"/>
      <c r="I195" s="284"/>
      <c r="J195" s="284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18"/>
      <c r="BL195" s="218"/>
      <c r="BM195" s="218"/>
      <c r="BN195" s="218"/>
      <c r="BO195" s="218"/>
      <c r="BP195" s="218"/>
      <c r="BQ195" s="218"/>
      <c r="BR195" s="218"/>
      <c r="BS195" s="218"/>
      <c r="BT195" s="218"/>
    </row>
    <row r="196" ht="12.75" customHeight="1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18"/>
      <c r="BL196" s="218"/>
      <c r="BM196" s="218"/>
      <c r="BN196" s="218"/>
      <c r="BO196" s="218"/>
      <c r="BP196" s="218"/>
      <c r="BQ196" s="218"/>
      <c r="BR196" s="218"/>
      <c r="BS196" s="218"/>
      <c r="BT196" s="218"/>
    </row>
    <row r="197" ht="12.75" customHeight="1">
      <c r="A197" s="284"/>
      <c r="B197" s="284"/>
      <c r="C197" s="284"/>
      <c r="D197" s="284"/>
      <c r="E197" s="284"/>
      <c r="F197" s="284"/>
      <c r="G197" s="284"/>
      <c r="H197" s="284"/>
      <c r="I197" s="284"/>
      <c r="J197" s="284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18"/>
      <c r="BL197" s="218"/>
      <c r="BM197" s="218"/>
      <c r="BN197" s="218"/>
      <c r="BO197" s="218"/>
      <c r="BP197" s="218"/>
      <c r="BQ197" s="218"/>
      <c r="BR197" s="218"/>
      <c r="BS197" s="218"/>
      <c r="BT197" s="218"/>
    </row>
    <row r="198" ht="12.75" customHeight="1">
      <c r="A198" s="284"/>
      <c r="B198" s="284"/>
      <c r="C198" s="284"/>
      <c r="D198" s="284"/>
      <c r="E198" s="284"/>
      <c r="F198" s="284"/>
      <c r="G198" s="284"/>
      <c r="H198" s="284"/>
      <c r="I198" s="284"/>
      <c r="J198" s="284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18"/>
      <c r="BL198" s="218"/>
      <c r="BM198" s="218"/>
      <c r="BN198" s="218"/>
      <c r="BO198" s="218"/>
      <c r="BP198" s="218"/>
      <c r="BQ198" s="218"/>
      <c r="BR198" s="218"/>
      <c r="BS198" s="218"/>
      <c r="BT198" s="218"/>
    </row>
    <row r="199" ht="12.75" customHeight="1">
      <c r="A199" s="284"/>
      <c r="B199" s="284"/>
      <c r="C199" s="284"/>
      <c r="D199" s="284"/>
      <c r="E199" s="284"/>
      <c r="F199" s="284"/>
      <c r="G199" s="284"/>
      <c r="H199" s="284"/>
      <c r="I199" s="284"/>
      <c r="J199" s="284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18"/>
      <c r="BL199" s="218"/>
      <c r="BM199" s="218"/>
      <c r="BN199" s="218"/>
      <c r="BO199" s="218"/>
      <c r="BP199" s="218"/>
      <c r="BQ199" s="218"/>
      <c r="BR199" s="218"/>
      <c r="BS199" s="218"/>
      <c r="BT199" s="218"/>
    </row>
    <row r="200" ht="12.75" customHeight="1">
      <c r="A200" s="284"/>
      <c r="B200" s="284"/>
      <c r="C200" s="284"/>
      <c r="D200" s="284"/>
      <c r="E200" s="284"/>
      <c r="F200" s="284"/>
      <c r="G200" s="284"/>
      <c r="H200" s="284"/>
      <c r="I200" s="284"/>
      <c r="J200" s="284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18"/>
      <c r="BL200" s="218"/>
      <c r="BM200" s="218"/>
      <c r="BN200" s="218"/>
      <c r="BO200" s="218"/>
      <c r="BP200" s="218"/>
      <c r="BQ200" s="218"/>
      <c r="BR200" s="218"/>
      <c r="BS200" s="218"/>
      <c r="BT200" s="218"/>
    </row>
    <row r="201" ht="12.75" customHeight="1">
      <c r="A201" s="284"/>
      <c r="B201" s="284"/>
      <c r="C201" s="284"/>
      <c r="D201" s="284"/>
      <c r="E201" s="284"/>
      <c r="F201" s="284"/>
      <c r="G201" s="284"/>
      <c r="H201" s="284"/>
      <c r="I201" s="284"/>
      <c r="J201" s="284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18"/>
      <c r="BL201" s="218"/>
      <c r="BM201" s="218"/>
      <c r="BN201" s="218"/>
      <c r="BO201" s="218"/>
      <c r="BP201" s="218"/>
      <c r="BQ201" s="218"/>
      <c r="BR201" s="218"/>
      <c r="BS201" s="218"/>
      <c r="BT201" s="218"/>
    </row>
    <row r="202" ht="12.75" customHeight="1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</row>
    <row r="203" ht="12.75" customHeight="1">
      <c r="A203" s="284"/>
      <c r="B203" s="284"/>
      <c r="C203" s="284"/>
      <c r="D203" s="284"/>
      <c r="E203" s="284"/>
      <c r="F203" s="284"/>
      <c r="G203" s="284"/>
      <c r="H203" s="284"/>
      <c r="I203" s="284"/>
      <c r="J203" s="284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18"/>
      <c r="BL203" s="218"/>
      <c r="BM203" s="218"/>
      <c r="BN203" s="218"/>
      <c r="BO203" s="218"/>
      <c r="BP203" s="218"/>
      <c r="BQ203" s="218"/>
      <c r="BR203" s="218"/>
      <c r="BS203" s="218"/>
      <c r="BT203" s="218"/>
    </row>
    <row r="204" ht="12.75" customHeight="1">
      <c r="A204" s="284"/>
      <c r="B204" s="284"/>
      <c r="C204" s="284"/>
      <c r="D204" s="284"/>
      <c r="E204" s="284"/>
      <c r="F204" s="284"/>
      <c r="G204" s="284"/>
      <c r="H204" s="284"/>
      <c r="I204" s="284"/>
      <c r="J204" s="284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</row>
    <row r="205" ht="12.75" customHeight="1">
      <c r="A205" s="284"/>
      <c r="B205" s="284"/>
      <c r="C205" s="284"/>
      <c r="D205" s="284"/>
      <c r="E205" s="284"/>
      <c r="F205" s="284"/>
      <c r="G205" s="284"/>
      <c r="H205" s="284"/>
      <c r="I205" s="284"/>
      <c r="J205" s="284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</row>
    <row r="206" ht="12.75" customHeight="1">
      <c r="A206" s="284"/>
      <c r="B206" s="284"/>
      <c r="C206" s="284"/>
      <c r="D206" s="284"/>
      <c r="E206" s="284"/>
      <c r="F206" s="284"/>
      <c r="G206" s="284"/>
      <c r="H206" s="284"/>
      <c r="I206" s="284"/>
      <c r="J206" s="284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</row>
    <row r="207" ht="12.75" customHeight="1">
      <c r="A207" s="218"/>
      <c r="B207" s="244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</row>
    <row r="208" ht="12.75" customHeight="1">
      <c r="A208" s="243"/>
      <c r="B208" s="244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</row>
    <row r="209" ht="12.75" customHeight="1">
      <c r="A209" s="319" t="s">
        <v>208</v>
      </c>
      <c r="B209" s="319" t="str">
        <f>VLOOKUP(B1,Rilevazione!B2:AF13,2,0)</f>
        <v>#N/A</v>
      </c>
      <c r="C209" s="319" t="str">
        <f>VLOOKUP(B1,Rilevazione!B2:AF13,3,0)</f>
        <v>#N/A</v>
      </c>
      <c r="D209" s="319" t="str">
        <f>VLOOKUP(B1,Rilevazione!B2:AF13,4,0)</f>
        <v>#N/A</v>
      </c>
      <c r="E209" s="319" t="str">
        <f>VLOOKUP(B1,Rilevazione!B2:AF13,5,0)</f>
        <v>#N/A</v>
      </c>
      <c r="F209" s="319" t="str">
        <f>VLOOKUP(B1,Rilevazione!B2:AF13,6,0)</f>
        <v>#N/A</v>
      </c>
      <c r="G209" s="319" t="str">
        <f>VLOOKUP(B1,Rilevazione!B2:AF13,7,0)</f>
        <v>#N/A</v>
      </c>
      <c r="H209" s="319" t="str">
        <f>VLOOKUP(B1,Rilevazione!B2:AF13,8,0)</f>
        <v>#N/A</v>
      </c>
      <c r="I209" s="319" t="str">
        <f>VLOOKUP(B1,Rilevazione!B2:AF13,9,0)</f>
        <v>#N/A</v>
      </c>
      <c r="J209" s="319" t="str">
        <f>VLOOKUP(B1,Rilevazione!B2:AF13,10,0)</f>
        <v>#N/A</v>
      </c>
      <c r="K209" s="319" t="str">
        <f>VLOOKUP(B1,Rilevazione!B2:AF13,11,0)</f>
        <v>#N/A</v>
      </c>
      <c r="L209" s="319" t="str">
        <f>VLOOKUP(B1,Rilevazione!B2:AF13,12,0)</f>
        <v>#N/A</v>
      </c>
      <c r="M209" s="319" t="str">
        <f>VLOOKUP(B1,Rilevazione!B2:AF13,13,0)</f>
        <v>#N/A</v>
      </c>
      <c r="N209" s="218"/>
      <c r="O209" s="218"/>
      <c r="P209" s="218"/>
      <c r="Q209" s="218"/>
      <c r="R209" s="218"/>
      <c r="S209" s="218"/>
      <c r="T209" s="218"/>
      <c r="U209" s="218"/>
      <c r="V209" s="319"/>
      <c r="W209" s="319" t="str">
        <f>VLOOKUP(B1,Rilevazione!B2:AF13,21,0)</f>
        <v>#N/A</v>
      </c>
      <c r="X209" s="319" t="str">
        <f>VLOOKUP(B1,Rilevazione!B2:AF13,22,0)</f>
        <v>#N/A</v>
      </c>
      <c r="Y209" s="319" t="str">
        <f>VLOOKUP(B1,Rilevazione!B2:AF13,23,0)</f>
        <v>#N/A</v>
      </c>
      <c r="Z209" s="319" t="str">
        <f>VLOOKUP(B1,Rilevazione!B2:AF13,24,0)</f>
        <v>#N/A</v>
      </c>
      <c r="AA209" s="319" t="str">
        <f>VLOOKUP(B1,Rilevazione!B2:AF13,25,0)</f>
        <v>#N/A</v>
      </c>
      <c r="AB209" s="319" t="str">
        <f>VLOOKUP(B1,Rilevazione!B2:AF13,26,0)</f>
        <v>#N/A</v>
      </c>
      <c r="AC209" s="319" t="str">
        <f>VLOOKUP(B1,Rilevazione!B2:AF13,27,0)</f>
        <v>#N/A</v>
      </c>
      <c r="AD209" s="319" t="str">
        <f>VLOOKUP(B1,Rilevazione!B2:AF13,28,0)</f>
        <v>#N/A</v>
      </c>
      <c r="AE209" s="319" t="str">
        <f>VLOOKUP(B1,Rilevazione!B2:AF13,29,0)</f>
        <v>#N/A</v>
      </c>
      <c r="AF209" s="319" t="str">
        <f>VLOOKUP(B1,Rilevazione!B2:AF13,30,0)</f>
        <v>#N/A</v>
      </c>
      <c r="AG209" s="319" t="str">
        <f>VLOOKUP(B1,Rilevazione!B2:AF13,31,0)</f>
        <v>#N/A</v>
      </c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</row>
    <row r="210" ht="12.75" customHeight="1">
      <c r="A210" s="319" t="s">
        <v>209</v>
      </c>
      <c r="B210" s="319" t="str">
        <f>VLOOKUP(B1,Rilevazione!B16:AF27,2,0)</f>
        <v>#N/A</v>
      </c>
      <c r="C210" s="319" t="str">
        <f>VLOOKUP(B1,Rilevazione!B16:AF27,3,0)</f>
        <v>#N/A</v>
      </c>
      <c r="D210" s="319" t="str">
        <f>VLOOKUP(B1,Rilevazione!B16:AF27,4,0)</f>
        <v>#N/A</v>
      </c>
      <c r="E210" s="319" t="str">
        <f>VLOOKUP(B1,Rilevazione!B16:AF27,5,0)</f>
        <v>#N/A</v>
      </c>
      <c r="F210" s="319" t="str">
        <f>VLOOKUP(B1,Rilevazione!B16:AF27,6,0)</f>
        <v>#N/A</v>
      </c>
      <c r="G210" s="319" t="str">
        <f>VLOOKUP(B1,Rilevazione!B16:AF27,7,0)</f>
        <v>#N/A</v>
      </c>
      <c r="H210" s="319" t="str">
        <f>VLOOKUP(B1,Rilevazione!B16:AF27,8,0)</f>
        <v>#N/A</v>
      </c>
      <c r="I210" s="319" t="str">
        <f>VLOOKUP(B1,Rilevazione!B16:AF27,9,0)</f>
        <v>#N/A</v>
      </c>
      <c r="J210" s="319" t="str">
        <f>VLOOKUP(B1,Rilevazione!B16:AF27,10,0)</f>
        <v>#N/A</v>
      </c>
      <c r="K210" s="319" t="str">
        <f>VLOOKUP(B1,Rilevazione!B16:AF27,11,0)</f>
        <v>#N/A</v>
      </c>
      <c r="L210" s="319" t="str">
        <f>VLOOKUP(B1,Rilevazione!B16:AF27,12,0)</f>
        <v>#N/A</v>
      </c>
      <c r="M210" s="319" t="str">
        <f>VLOOKUP(B1,Rilevazione!B16:AF27,13,0)</f>
        <v>#N/A</v>
      </c>
      <c r="N210" s="218"/>
      <c r="O210" s="218"/>
      <c r="P210" s="218"/>
      <c r="Q210" s="218"/>
      <c r="R210" s="218"/>
      <c r="S210" s="218"/>
      <c r="T210" s="218"/>
      <c r="U210" s="218"/>
      <c r="V210" s="319"/>
      <c r="W210" s="319" t="str">
        <f>VLOOKUP(B1,Rilevazione!B16:AF27,21,0)</f>
        <v>#N/A</v>
      </c>
      <c r="X210" s="319" t="str">
        <f>VLOOKUP(B1,Rilevazione!B16:AF27,22,0)</f>
        <v>#N/A</v>
      </c>
      <c r="Y210" s="319" t="str">
        <f>VLOOKUP(B1,Rilevazione!B16:AF27,23,0)</f>
        <v>#N/A</v>
      </c>
      <c r="Z210" s="319" t="str">
        <f>VLOOKUP(B1,Rilevazione!B16:AF27,24,0)</f>
        <v>#N/A</v>
      </c>
      <c r="AA210" s="319" t="str">
        <f>VLOOKUP(B1,Rilevazione!B16:AF27,25,0)</f>
        <v>#N/A</v>
      </c>
      <c r="AB210" s="319" t="str">
        <f>VLOOKUP(B1,Rilevazione!B16:AF27,26,0)</f>
        <v>#N/A</v>
      </c>
      <c r="AC210" s="319" t="str">
        <f>VLOOKUP(B1,Rilevazione!B16:AF27,27,0)</f>
        <v>#N/A</v>
      </c>
      <c r="AD210" s="319" t="str">
        <f>VLOOKUP(B1,Rilevazione!B16:AF27,28,0)</f>
        <v>#N/A</v>
      </c>
      <c r="AE210" s="319" t="str">
        <f>VLOOKUP(B1,Rilevazione!B16:AF27,29,0)</f>
        <v>#N/A</v>
      </c>
      <c r="AF210" s="319" t="str">
        <f>VLOOKUP(B1,Rilevazione!B16:AF27,30,0)</f>
        <v>#N/A</v>
      </c>
      <c r="AG210" s="319" t="str">
        <f>VLOOKUP(B1,Rilevazione!B16:AF27,31,0)</f>
        <v>#N/A</v>
      </c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</row>
    <row r="211" ht="12.75" customHeight="1">
      <c r="A211" s="319" t="s">
        <v>214</v>
      </c>
      <c r="B211" s="319" t="str">
        <f>VLOOKUP(B1,Rilevazione!B30:AF41,2,0)</f>
        <v>#N/A</v>
      </c>
      <c r="C211" s="319" t="str">
        <f>VLOOKUP(B1,Rilevazione!B30:AF41,3,0)</f>
        <v>#N/A</v>
      </c>
      <c r="D211" s="319" t="str">
        <f>VLOOKUP(B1,Rilevazione!B30:AF41,4,0)</f>
        <v>#N/A</v>
      </c>
      <c r="E211" s="319" t="str">
        <f>VLOOKUP(B1,Rilevazione!B30:AF41,5,0)</f>
        <v>#N/A</v>
      </c>
      <c r="F211" s="319" t="str">
        <f>VLOOKUP(B1,Rilevazione!B30:AF41,6,0)</f>
        <v>#N/A</v>
      </c>
      <c r="G211" s="319" t="str">
        <f>VLOOKUP(B1,Rilevazione!B30:AF41,7,0)</f>
        <v>#N/A</v>
      </c>
      <c r="H211" s="319" t="str">
        <f>VLOOKUP(B1,Rilevazione!B30:AF41,8,0)</f>
        <v>#N/A</v>
      </c>
      <c r="I211" s="319" t="str">
        <f>VLOOKUP(B1,Rilevazione!B30:AF41,9,0)</f>
        <v>#N/A</v>
      </c>
      <c r="J211" s="319" t="str">
        <f>VLOOKUP(B1,Rilevazione!B30:AF41,10,0)</f>
        <v>#N/A</v>
      </c>
      <c r="K211" s="319" t="str">
        <f>VLOOKUP(B1,Rilevazione!B30:AF41,11,0)</f>
        <v>#N/A</v>
      </c>
      <c r="L211" s="319" t="str">
        <f>VLOOKUP(B1,Rilevazione!B30:AF41,12,0)</f>
        <v>#N/A</v>
      </c>
      <c r="M211" s="319" t="str">
        <f>VLOOKUP(B1,Rilevazione!B30:AF41,13,0)</f>
        <v>#N/A</v>
      </c>
      <c r="N211" s="218"/>
      <c r="O211" s="218"/>
      <c r="P211" s="218"/>
      <c r="Q211" s="218"/>
      <c r="R211" s="218"/>
      <c r="S211" s="218"/>
      <c r="T211" s="218"/>
      <c r="U211" s="218"/>
      <c r="V211" s="319"/>
      <c r="W211" s="319" t="str">
        <f>VLOOKUP(B1,Rilevazione!B30:AF41,21,0)</f>
        <v>#N/A</v>
      </c>
      <c r="X211" s="319" t="str">
        <f>VLOOKUP(B1,Rilevazione!B30:AF41,22,0)</f>
        <v>#N/A</v>
      </c>
      <c r="Y211" s="319" t="str">
        <f>VLOOKUP(B1,Rilevazione!B30:AF41,23,0)</f>
        <v>#N/A</v>
      </c>
      <c r="Z211" s="319" t="str">
        <f>VLOOKUP(B1,Rilevazione!B30:AF41,24,0)</f>
        <v>#N/A</v>
      </c>
      <c r="AA211" s="319" t="str">
        <f>VLOOKUP(B1,Rilevazione!B30:AF41,25,0)</f>
        <v>#N/A</v>
      </c>
      <c r="AB211" s="319" t="str">
        <f>VLOOKUP(B1,Rilevazione!B30:AF41,26,0)</f>
        <v>#N/A</v>
      </c>
      <c r="AC211" s="319" t="str">
        <f>VLOOKUP(B1,Rilevazione!B30:AF41,27,0)</f>
        <v>#N/A</v>
      </c>
      <c r="AD211" s="319" t="str">
        <f>VLOOKUP(B1,Rilevazione!B30:AF41,28,0)</f>
        <v>#N/A</v>
      </c>
      <c r="AE211" s="319" t="str">
        <f>VLOOKUP(B1,Rilevazione!B30:AF41,29,0)</f>
        <v>#N/A</v>
      </c>
      <c r="AF211" s="319" t="str">
        <f>VLOOKUP(B1,Rilevazione!B30:AF41,30,0)</f>
        <v>#N/A</v>
      </c>
      <c r="AG211" s="319" t="str">
        <f>VLOOKUP(B1,Rilevazione!B30:AF41,31,0)</f>
        <v>#N/A</v>
      </c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</row>
    <row r="212" ht="12.75" customHeight="1">
      <c r="A212" s="319" t="s">
        <v>216</v>
      </c>
      <c r="B212" s="319" t="str">
        <f>VLOOKUP(B1,Rilevazione!B44:AF55,2,0)</f>
        <v>#N/A</v>
      </c>
      <c r="C212" s="319" t="str">
        <f>VLOOKUP(B1,Rilevazione!B44:AF55,3,0)</f>
        <v>#N/A</v>
      </c>
      <c r="D212" s="319" t="str">
        <f>VLOOKUP(B1,Rilevazione!B44:AF55,4,0)</f>
        <v>#N/A</v>
      </c>
      <c r="E212" s="319" t="str">
        <f>VLOOKUP(B1,Rilevazione!B44:AF55,5,0)</f>
        <v>#N/A</v>
      </c>
      <c r="F212" s="319" t="str">
        <f>VLOOKUP(B1,Rilevazione!B44:AF55,6,0)</f>
        <v>#N/A</v>
      </c>
      <c r="G212" s="319" t="str">
        <f>VLOOKUP(B1,Rilevazione!B44:AF55,7,0)</f>
        <v>#N/A</v>
      </c>
      <c r="H212" s="319" t="str">
        <f>VLOOKUP(B1,Rilevazione!B44:AF55,8,0)</f>
        <v>#N/A</v>
      </c>
      <c r="I212" s="319" t="str">
        <f>VLOOKUP(B1,Rilevazione!B44:AF55,9,0)</f>
        <v>#N/A</v>
      </c>
      <c r="J212" s="319" t="str">
        <f>VLOOKUP(B1,Rilevazione!B44:AF55,10,0)</f>
        <v>#N/A</v>
      </c>
      <c r="K212" s="319" t="str">
        <f>VLOOKUP(B1,Rilevazione!B44:AF55,11,0)</f>
        <v>#N/A</v>
      </c>
      <c r="L212" s="319" t="str">
        <f>VLOOKUP(B1,Rilevazione!B44:AF55,12,0)</f>
        <v>#N/A</v>
      </c>
      <c r="M212" s="319" t="str">
        <f>VLOOKUP(B1,Rilevazione!B44:AF55,13,0)</f>
        <v>#N/A</v>
      </c>
      <c r="N212" s="218"/>
      <c r="O212" s="218"/>
      <c r="P212" s="218"/>
      <c r="Q212" s="218"/>
      <c r="R212" s="218"/>
      <c r="S212" s="218"/>
      <c r="T212" s="218"/>
      <c r="U212" s="218"/>
      <c r="V212" s="319"/>
      <c r="W212" s="319" t="str">
        <f>VLOOKUP(B1,Rilevazione!B44:AF55,21,0)</f>
        <v>#N/A</v>
      </c>
      <c r="X212" s="319" t="str">
        <f>VLOOKUP(B1,Rilevazione!B44:AF55,22,0)</f>
        <v>#N/A</v>
      </c>
      <c r="Y212" s="319" t="str">
        <f>VLOOKUP(B1,Rilevazione!B44:AF55,23,0)</f>
        <v>#N/A</v>
      </c>
      <c r="Z212" s="319" t="str">
        <f>VLOOKUP(B1,Rilevazione!B44:AF55,24,0)</f>
        <v>#N/A</v>
      </c>
      <c r="AA212" s="319" t="str">
        <f>VLOOKUP(B1,Rilevazione!B44:AF55,25,0)</f>
        <v>#N/A</v>
      </c>
      <c r="AB212" s="319" t="str">
        <f>VLOOKUP(B1,Rilevazione!B44:AF55,26,0)</f>
        <v>#N/A</v>
      </c>
      <c r="AC212" s="319" t="str">
        <f>VLOOKUP(B1,Rilevazione!B44:AF55,27,0)</f>
        <v>#N/A</v>
      </c>
      <c r="AD212" s="319" t="str">
        <f>VLOOKUP(B1,Rilevazione!B44:AF55,28,0)</f>
        <v>#N/A</v>
      </c>
      <c r="AE212" s="319" t="str">
        <f>VLOOKUP(B1,Rilevazione!B44:AF55,29,0)</f>
        <v>#N/A</v>
      </c>
      <c r="AF212" s="319" t="str">
        <f>VLOOKUP(B1,Rilevazione!B44:AF55,30,0)</f>
        <v>#N/A</v>
      </c>
      <c r="AG212" s="319" t="str">
        <f>VLOOKUP(B1,Rilevazione!B44:AF55,31,0)</f>
        <v>#N/A</v>
      </c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</row>
    <row r="213" ht="12.75" customHeight="1">
      <c r="A213" s="319" t="s">
        <v>217</v>
      </c>
      <c r="B213" s="319" t="str">
        <f>VLOOKUP(B1,Rilevazione!B58:AF69,2,0)</f>
        <v>#N/A</v>
      </c>
      <c r="C213" s="319" t="str">
        <f>VLOOKUP(B1,Rilevazione!B58:AF69,3,0)</f>
        <v>#N/A</v>
      </c>
      <c r="D213" s="319" t="str">
        <f>VLOOKUP(B1,Rilevazione!B58:AF69,4,0)</f>
        <v>#N/A</v>
      </c>
      <c r="E213" s="319" t="str">
        <f>VLOOKUP(B1,Rilevazione!B58:AF69,5,0)</f>
        <v>#N/A</v>
      </c>
      <c r="F213" s="319" t="str">
        <f>VLOOKUP(B1,Rilevazione!B58:AF69,6,0)</f>
        <v>#N/A</v>
      </c>
      <c r="G213" s="319" t="str">
        <f>VLOOKUP(B1,Rilevazione!B58:AF69,7,0)</f>
        <v>#N/A</v>
      </c>
      <c r="H213" s="319" t="str">
        <f>VLOOKUP(B1,Rilevazione!B58:AF69,8,0)</f>
        <v>#N/A</v>
      </c>
      <c r="I213" s="319" t="str">
        <f>VLOOKUP(B1,Rilevazione!B58:AF69,9,0)</f>
        <v>#N/A</v>
      </c>
      <c r="J213" s="319" t="str">
        <f>VLOOKUP(B1,Rilevazione!B58:AF69,10,0)</f>
        <v>#N/A</v>
      </c>
      <c r="K213" s="319" t="str">
        <f>VLOOKUP(B1,Rilevazione!B58:AF69,11,0)</f>
        <v>#N/A</v>
      </c>
      <c r="L213" s="319" t="str">
        <f>VLOOKUP(B1,Rilevazione!B58:AF69,12,0)</f>
        <v>#N/A</v>
      </c>
      <c r="M213" s="319" t="str">
        <f>VLOOKUP(B1,Rilevazione!B58:AF69,13,0)</f>
        <v>#N/A</v>
      </c>
      <c r="N213" s="218"/>
      <c r="O213" s="218"/>
      <c r="P213" s="218"/>
      <c r="Q213" s="218"/>
      <c r="R213" s="218"/>
      <c r="S213" s="218"/>
      <c r="T213" s="218"/>
      <c r="U213" s="218"/>
      <c r="V213" s="319"/>
      <c r="W213" s="319" t="str">
        <f>VLOOKUP(B1,Rilevazione!B58:AF69,21,0)</f>
        <v>#N/A</v>
      </c>
      <c r="X213" s="319" t="str">
        <f>VLOOKUP(B1,Rilevazione!B58:AF69,22,0)</f>
        <v>#N/A</v>
      </c>
      <c r="Y213" s="319" t="str">
        <f>VLOOKUP(B1,Rilevazione!B58:AF69,23,0)</f>
        <v>#N/A</v>
      </c>
      <c r="Z213" s="319" t="str">
        <f>VLOOKUP(B1,Rilevazione!B58:AF69,24,0)</f>
        <v>#N/A</v>
      </c>
      <c r="AA213" s="319" t="str">
        <f>VLOOKUP(B1,Rilevazione!B58:AF69,25,0)</f>
        <v>#N/A</v>
      </c>
      <c r="AB213" s="319" t="str">
        <f>VLOOKUP(B1,Rilevazione!B58:AF69,26,0)</f>
        <v>#N/A</v>
      </c>
      <c r="AC213" s="319" t="str">
        <f>VLOOKUP(B1,Rilevazione!B58:AF69,27,0)</f>
        <v>#N/A</v>
      </c>
      <c r="AD213" s="319" t="str">
        <f>VLOOKUP(B1,Rilevazione!B58:AF69,28,0)</f>
        <v>#N/A</v>
      </c>
      <c r="AE213" s="319" t="str">
        <f>VLOOKUP(B1,Rilevazione!B58:AF69,29,0)</f>
        <v>#N/A</v>
      </c>
      <c r="AF213" s="319" t="str">
        <f>VLOOKUP(B1,Rilevazione!B58:AF69,30,0)</f>
        <v>#N/A</v>
      </c>
      <c r="AG213" s="319" t="str">
        <f>VLOOKUP(B1,Rilevazione!B58:AF69,31,0)</f>
        <v>#N/A</v>
      </c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</row>
    <row r="214" ht="12.75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319" t="str">
        <f>VLOOKUP(B1,Rilevazione!B2:AF13,14,0)</f>
        <v>#N/A</v>
      </c>
      <c r="O214" s="319" t="str">
        <f>VLOOKUP(B1,Rilevazione!B2:AF13,15,0)</f>
        <v>#N/A</v>
      </c>
      <c r="P214" s="319" t="str">
        <f>VLOOKUP(B1,Rilevazione!B2:AF13,16,0)</f>
        <v>#N/A</v>
      </c>
      <c r="Q214" s="319" t="str">
        <f>VLOOKUP(B1,Rilevazione!B2:AF13,17,0)</f>
        <v>#N/A</v>
      </c>
      <c r="R214" s="319" t="str">
        <f>VLOOKUP(B1,Rilevazione!B2:AF13,18,0)</f>
        <v>#N/A</v>
      </c>
      <c r="S214" s="319" t="str">
        <f>VLOOKUP(B1,Rilevazione!B2:AF13,19,0)</f>
        <v>#N/A</v>
      </c>
      <c r="T214" s="319" t="str">
        <f>VLOOKUP(B1,Rilevazione!B2:AF13,20,0)</f>
        <v>#N/A</v>
      </c>
      <c r="U214" s="319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319" t="str">
        <f>VLOOKUP(B1,Rilevazione!B16:AF27,14,0)</f>
        <v>#N/A</v>
      </c>
      <c r="O215" s="319" t="str">
        <f>VLOOKUP(B1,Rilevazione!B16:AF27,15,0)</f>
        <v>#N/A</v>
      </c>
      <c r="P215" s="319" t="str">
        <f>VLOOKUP(B1,Rilevazione!B16:AF27,16,0)</f>
        <v>#N/A</v>
      </c>
      <c r="Q215" s="319" t="str">
        <f>VLOOKUP(B1,Rilevazione!B16:AF27,17,0)</f>
        <v>#N/A</v>
      </c>
      <c r="R215" s="319" t="str">
        <f>VLOOKUP(B1,Rilevazione!B16:AF27,18,0)</f>
        <v>#N/A</v>
      </c>
      <c r="S215" s="319" t="str">
        <f>VLOOKUP(B1,Rilevazione!B16:AF27,19,0)</f>
        <v>#N/A</v>
      </c>
      <c r="T215" s="319" t="str">
        <f>VLOOKUP(B1,Rilevazione!B16:AF27,20,0)</f>
        <v>#N/A</v>
      </c>
      <c r="U215" s="319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319" t="str">
        <f>VLOOKUP(B1,Rilevazione!B30:AF41,14,0)</f>
        <v>#N/A</v>
      </c>
      <c r="O216" s="319" t="str">
        <f>VLOOKUP(B1,Rilevazione!B30:AF41,15,0)</f>
        <v>#N/A</v>
      </c>
      <c r="P216" s="319" t="str">
        <f>VLOOKUP(B1,Rilevazione!B30:AF41,16,0)</f>
        <v>#N/A</v>
      </c>
      <c r="Q216" s="319" t="str">
        <f>VLOOKUP(B1,Rilevazione!B30:AF41,17,0)</f>
        <v>#N/A</v>
      </c>
      <c r="R216" s="319" t="str">
        <f>VLOOKUP(B1,Rilevazione!B30:AF41,18,0)</f>
        <v>#N/A</v>
      </c>
      <c r="S216" s="319" t="str">
        <f>VLOOKUP(B1,Rilevazione!B30:AF41,19,0)</f>
        <v>#N/A</v>
      </c>
      <c r="T216" s="319" t="str">
        <f>VLOOKUP(B1,Rilevazione!B30:AF41,20,0)</f>
        <v>#N/A</v>
      </c>
      <c r="U216" s="319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319" t="str">
        <f>VLOOKUP(B1,Rilevazione!B44:AF55,14,0)</f>
        <v>#N/A</v>
      </c>
      <c r="O217" s="319" t="str">
        <f>VLOOKUP(B1,Rilevazione!B44:AF55,15,0)</f>
        <v>#N/A</v>
      </c>
      <c r="P217" s="319" t="str">
        <f>VLOOKUP(B1,Rilevazione!B44:AF55,16,0)</f>
        <v>#N/A</v>
      </c>
      <c r="Q217" s="319" t="str">
        <f>VLOOKUP(B1,Rilevazione!B44:AF55,17,0)</f>
        <v>#N/A</v>
      </c>
      <c r="R217" s="319" t="str">
        <f>VLOOKUP(B1,Rilevazione!B44:AF55,18,0)</f>
        <v>#N/A</v>
      </c>
      <c r="S217" s="319" t="str">
        <f>VLOOKUP(B1,Rilevazione!B44:AF55,19,0)</f>
        <v>#N/A</v>
      </c>
      <c r="T217" s="319" t="str">
        <f>VLOOKUP(B1,Rilevazione!B44:AF55,20,0)</f>
        <v>#N/A</v>
      </c>
      <c r="U217" s="319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319" t="str">
        <f>VLOOKUP(B1,Rilevazione!B58:AF69,14,0)</f>
        <v>#N/A</v>
      </c>
      <c r="O218" s="319" t="str">
        <f>VLOOKUP(B1,Rilevazione!B58:AF69,15,0)</f>
        <v>#N/A</v>
      </c>
      <c r="P218" s="319" t="str">
        <f>VLOOKUP(B1,Rilevazione!B58:AF69,16,0)</f>
        <v>#N/A</v>
      </c>
      <c r="Q218" s="319" t="str">
        <f>VLOOKUP(B1,Rilevazione!B58:AF69,17,0)</f>
        <v>#N/A</v>
      </c>
      <c r="R218" s="319" t="str">
        <f>VLOOKUP(B1,Rilevazione!B58:AF69,18,0)</f>
        <v>#N/A</v>
      </c>
      <c r="S218" s="319" t="str">
        <f>VLOOKUP(B1,Rilevazione!B58:AF69,19,0)</f>
        <v>#N/A</v>
      </c>
      <c r="T218" s="319" t="str">
        <f>VLOOKUP(B1,Rilevazione!B58:AF69,20,0)</f>
        <v>#N/A</v>
      </c>
      <c r="U218" s="319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8"/>
      <c r="BL230" s="218"/>
      <c r="BM230" s="218"/>
      <c r="BN230" s="218"/>
      <c r="BO230" s="218"/>
      <c r="BP230" s="218"/>
      <c r="BQ230" s="218"/>
      <c r="BR230" s="218"/>
      <c r="BS230" s="218"/>
      <c r="BT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18"/>
      <c r="BL232" s="218"/>
      <c r="BM232" s="218"/>
      <c r="BN232" s="218"/>
      <c r="BO232" s="218"/>
      <c r="BP232" s="218"/>
      <c r="BQ232" s="218"/>
      <c r="BR232" s="218"/>
      <c r="BS232" s="218"/>
      <c r="BT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18"/>
      <c r="BL233" s="218"/>
      <c r="BM233" s="218"/>
      <c r="BN233" s="218"/>
      <c r="BO233" s="218"/>
      <c r="BP233" s="218"/>
      <c r="BQ233" s="218"/>
      <c r="BR233" s="218"/>
      <c r="BS233" s="218"/>
      <c r="BT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18"/>
      <c r="BL234" s="218"/>
      <c r="BM234" s="218"/>
      <c r="BN234" s="218"/>
      <c r="BO234" s="218"/>
      <c r="BP234" s="218"/>
      <c r="BQ234" s="218"/>
      <c r="BR234" s="218"/>
      <c r="BS234" s="218"/>
      <c r="BT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18"/>
      <c r="BL235" s="218"/>
      <c r="BM235" s="218"/>
      <c r="BN235" s="218"/>
      <c r="BO235" s="218"/>
      <c r="BP235" s="218"/>
      <c r="BQ235" s="218"/>
      <c r="BR235" s="218"/>
      <c r="BS235" s="218"/>
      <c r="BT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18"/>
      <c r="BL237" s="218"/>
      <c r="BM237" s="218"/>
      <c r="BN237" s="218"/>
      <c r="BO237" s="218"/>
      <c r="BP237" s="218"/>
      <c r="BQ237" s="218"/>
      <c r="BR237" s="218"/>
      <c r="BS237" s="218"/>
      <c r="BT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18"/>
      <c r="BL238" s="218"/>
      <c r="BM238" s="218"/>
      <c r="BN238" s="218"/>
      <c r="BO238" s="218"/>
      <c r="BP238" s="218"/>
      <c r="BQ238" s="218"/>
      <c r="BR238" s="218"/>
      <c r="BS238" s="218"/>
      <c r="BT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  <c r="BB240" s="218"/>
      <c r="BC240" s="218"/>
      <c r="BD240" s="218"/>
      <c r="BE240" s="218"/>
      <c r="BF240" s="218"/>
      <c r="BG240" s="218"/>
      <c r="BH240" s="218"/>
      <c r="BI240" s="218"/>
      <c r="BJ240" s="218"/>
      <c r="BK240" s="218"/>
      <c r="BL240" s="218"/>
      <c r="BM240" s="218"/>
      <c r="BN240" s="218"/>
      <c r="BO240" s="218"/>
      <c r="BP240" s="218"/>
      <c r="BQ240" s="218"/>
      <c r="BR240" s="218"/>
      <c r="BS240" s="218"/>
      <c r="BT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18"/>
      <c r="BL241" s="218"/>
      <c r="BM241" s="218"/>
      <c r="BN241" s="218"/>
      <c r="BO241" s="218"/>
      <c r="BP241" s="218"/>
      <c r="BQ241" s="218"/>
      <c r="BR241" s="218"/>
      <c r="BS241" s="218"/>
      <c r="BT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18"/>
      <c r="BL243" s="218"/>
      <c r="BM243" s="218"/>
      <c r="BN243" s="218"/>
      <c r="BO243" s="218"/>
      <c r="BP243" s="218"/>
      <c r="BQ243" s="218"/>
      <c r="BR243" s="218"/>
      <c r="BS243" s="218"/>
      <c r="BT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18"/>
      <c r="BL244" s="218"/>
      <c r="BM244" s="218"/>
      <c r="BN244" s="218"/>
      <c r="BO244" s="218"/>
      <c r="BP244" s="218"/>
      <c r="BQ244" s="218"/>
      <c r="BR244" s="218"/>
      <c r="BS244" s="218"/>
      <c r="BT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18"/>
      <c r="BL247" s="218"/>
      <c r="BM247" s="218"/>
      <c r="BN247" s="218"/>
      <c r="BO247" s="218"/>
      <c r="BP247" s="218"/>
      <c r="BQ247" s="218"/>
      <c r="BR247" s="218"/>
      <c r="BS247" s="218"/>
      <c r="BT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18"/>
      <c r="BL248" s="218"/>
      <c r="BM248" s="218"/>
      <c r="BN248" s="218"/>
      <c r="BO248" s="218"/>
      <c r="BP248" s="218"/>
      <c r="BQ248" s="218"/>
      <c r="BR248" s="218"/>
      <c r="BS248" s="218"/>
      <c r="BT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  <c r="BB249" s="218"/>
      <c r="BC249" s="218"/>
      <c r="BD249" s="218"/>
      <c r="BE249" s="218"/>
      <c r="BF249" s="218"/>
      <c r="BG249" s="218"/>
      <c r="BH249" s="218"/>
      <c r="BI249" s="218"/>
      <c r="BJ249" s="218"/>
      <c r="BK249" s="218"/>
      <c r="BL249" s="218"/>
      <c r="BM249" s="218"/>
      <c r="BN249" s="218"/>
      <c r="BO249" s="218"/>
      <c r="BP249" s="218"/>
      <c r="BQ249" s="218"/>
      <c r="BR249" s="218"/>
      <c r="BS249" s="218"/>
      <c r="BT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18"/>
      <c r="BL250" s="218"/>
      <c r="BM250" s="218"/>
      <c r="BN250" s="218"/>
      <c r="BO250" s="218"/>
      <c r="BP250" s="218"/>
      <c r="BQ250" s="218"/>
      <c r="BR250" s="218"/>
      <c r="BS250" s="218"/>
      <c r="BT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18"/>
      <c r="BL251" s="218"/>
      <c r="BM251" s="218"/>
      <c r="BN251" s="218"/>
      <c r="BO251" s="218"/>
      <c r="BP251" s="218"/>
      <c r="BQ251" s="218"/>
      <c r="BR251" s="218"/>
      <c r="BS251" s="218"/>
      <c r="BT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18"/>
      <c r="BL252" s="218"/>
      <c r="BM252" s="218"/>
      <c r="BN252" s="218"/>
      <c r="BO252" s="218"/>
      <c r="BP252" s="218"/>
      <c r="BQ252" s="218"/>
      <c r="BR252" s="218"/>
      <c r="BS252" s="218"/>
      <c r="BT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18"/>
      <c r="BL253" s="218"/>
      <c r="BM253" s="218"/>
      <c r="BN253" s="218"/>
      <c r="BO253" s="218"/>
      <c r="BP253" s="218"/>
      <c r="BQ253" s="218"/>
      <c r="BR253" s="218"/>
      <c r="BS253" s="218"/>
      <c r="BT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18"/>
      <c r="BL254" s="218"/>
      <c r="BM254" s="218"/>
      <c r="BN254" s="218"/>
      <c r="BO254" s="218"/>
      <c r="BP254" s="218"/>
      <c r="BQ254" s="218"/>
      <c r="BR254" s="218"/>
      <c r="BS254" s="218"/>
      <c r="BT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18"/>
      <c r="BL255" s="218"/>
      <c r="BM255" s="218"/>
      <c r="BN255" s="218"/>
      <c r="BO255" s="218"/>
      <c r="BP255" s="218"/>
      <c r="BQ255" s="218"/>
      <c r="BR255" s="218"/>
      <c r="BS255" s="218"/>
      <c r="BT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18"/>
      <c r="BL256" s="218"/>
      <c r="BM256" s="218"/>
      <c r="BN256" s="218"/>
      <c r="BO256" s="218"/>
      <c r="BP256" s="218"/>
      <c r="BQ256" s="218"/>
      <c r="BR256" s="218"/>
      <c r="BS256" s="218"/>
      <c r="BT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18"/>
      <c r="BL257" s="218"/>
      <c r="BM257" s="218"/>
      <c r="BN257" s="218"/>
      <c r="BO257" s="218"/>
      <c r="BP257" s="218"/>
      <c r="BQ257" s="218"/>
      <c r="BR257" s="218"/>
      <c r="BS257" s="218"/>
      <c r="BT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18"/>
      <c r="BL259" s="218"/>
      <c r="BM259" s="218"/>
      <c r="BN259" s="218"/>
      <c r="BO259" s="218"/>
      <c r="BP259" s="218"/>
      <c r="BQ259" s="218"/>
      <c r="BR259" s="218"/>
      <c r="BS259" s="218"/>
      <c r="BT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18"/>
      <c r="BL260" s="218"/>
      <c r="BM260" s="218"/>
      <c r="BN260" s="218"/>
      <c r="BO260" s="218"/>
      <c r="BP260" s="218"/>
      <c r="BQ260" s="218"/>
      <c r="BR260" s="218"/>
      <c r="BS260" s="218"/>
      <c r="BT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18"/>
      <c r="BL262" s="218"/>
      <c r="BM262" s="218"/>
      <c r="BN262" s="218"/>
      <c r="BO262" s="218"/>
      <c r="BP262" s="218"/>
      <c r="BQ262" s="218"/>
      <c r="BR262" s="218"/>
      <c r="BS262" s="218"/>
      <c r="BT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18"/>
      <c r="BL263" s="218"/>
      <c r="BM263" s="218"/>
      <c r="BN263" s="218"/>
      <c r="BO263" s="218"/>
      <c r="BP263" s="218"/>
      <c r="BQ263" s="218"/>
      <c r="BR263" s="218"/>
      <c r="BS263" s="218"/>
      <c r="BT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18"/>
      <c r="BL264" s="218"/>
      <c r="BM264" s="218"/>
      <c r="BN264" s="218"/>
      <c r="BO264" s="218"/>
      <c r="BP264" s="218"/>
      <c r="BQ264" s="218"/>
      <c r="BR264" s="218"/>
      <c r="BS264" s="218"/>
      <c r="BT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18"/>
      <c r="BL265" s="218"/>
      <c r="BM265" s="218"/>
      <c r="BN265" s="218"/>
      <c r="BO265" s="218"/>
      <c r="BP265" s="218"/>
      <c r="BQ265" s="218"/>
      <c r="BR265" s="218"/>
      <c r="BS265" s="218"/>
      <c r="BT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18"/>
      <c r="BL266" s="218"/>
      <c r="BM266" s="218"/>
      <c r="BN266" s="218"/>
      <c r="BO266" s="218"/>
      <c r="BP266" s="218"/>
      <c r="BQ266" s="218"/>
      <c r="BR266" s="218"/>
      <c r="BS266" s="218"/>
      <c r="BT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  <c r="BB267" s="218"/>
      <c r="BC267" s="218"/>
      <c r="BD267" s="218"/>
      <c r="BE267" s="218"/>
      <c r="BF267" s="218"/>
      <c r="BG267" s="218"/>
      <c r="BH267" s="218"/>
      <c r="BI267" s="218"/>
      <c r="BJ267" s="218"/>
      <c r="BK267" s="218"/>
      <c r="BL267" s="218"/>
      <c r="BM267" s="218"/>
      <c r="BN267" s="218"/>
      <c r="BO267" s="218"/>
      <c r="BP267" s="218"/>
      <c r="BQ267" s="218"/>
      <c r="BR267" s="218"/>
      <c r="BS267" s="218"/>
      <c r="BT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18"/>
      <c r="BL269" s="218"/>
      <c r="BM269" s="218"/>
      <c r="BN269" s="218"/>
      <c r="BO269" s="218"/>
      <c r="BP269" s="218"/>
      <c r="BQ269" s="218"/>
      <c r="BR269" s="218"/>
      <c r="BS269" s="218"/>
      <c r="BT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18"/>
      <c r="BL271" s="218"/>
      <c r="BM271" s="218"/>
      <c r="BN271" s="218"/>
      <c r="BO271" s="218"/>
      <c r="BP271" s="218"/>
      <c r="BQ271" s="218"/>
      <c r="BR271" s="218"/>
      <c r="BS271" s="218"/>
      <c r="BT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18"/>
      <c r="BL272" s="218"/>
      <c r="BM272" s="218"/>
      <c r="BN272" s="218"/>
      <c r="BO272" s="218"/>
      <c r="BP272" s="218"/>
      <c r="BQ272" s="218"/>
      <c r="BR272" s="218"/>
      <c r="BS272" s="218"/>
      <c r="BT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18"/>
      <c r="BL273" s="218"/>
      <c r="BM273" s="218"/>
      <c r="BN273" s="218"/>
      <c r="BO273" s="218"/>
      <c r="BP273" s="218"/>
      <c r="BQ273" s="218"/>
      <c r="BR273" s="218"/>
      <c r="BS273" s="218"/>
      <c r="BT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18"/>
      <c r="BL274" s="218"/>
      <c r="BM274" s="218"/>
      <c r="BN274" s="218"/>
      <c r="BO274" s="218"/>
      <c r="BP274" s="218"/>
      <c r="BQ274" s="218"/>
      <c r="BR274" s="218"/>
      <c r="BS274" s="218"/>
      <c r="BT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18"/>
      <c r="BL275" s="218"/>
      <c r="BM275" s="218"/>
      <c r="BN275" s="218"/>
      <c r="BO275" s="218"/>
      <c r="BP275" s="218"/>
      <c r="BQ275" s="218"/>
      <c r="BR275" s="218"/>
      <c r="BS275" s="218"/>
      <c r="BT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  <c r="BB276" s="218"/>
      <c r="BC276" s="218"/>
      <c r="BD276" s="218"/>
      <c r="BE276" s="218"/>
      <c r="BF276" s="218"/>
      <c r="BG276" s="218"/>
      <c r="BH276" s="218"/>
      <c r="BI276" s="218"/>
      <c r="BJ276" s="218"/>
      <c r="BK276" s="218"/>
      <c r="BL276" s="218"/>
      <c r="BM276" s="218"/>
      <c r="BN276" s="218"/>
      <c r="BO276" s="218"/>
      <c r="BP276" s="218"/>
      <c r="BQ276" s="218"/>
      <c r="BR276" s="218"/>
      <c r="BS276" s="218"/>
      <c r="BT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18"/>
      <c r="BL277" s="218"/>
      <c r="BM277" s="218"/>
      <c r="BN277" s="218"/>
      <c r="BO277" s="218"/>
      <c r="BP277" s="218"/>
      <c r="BQ277" s="218"/>
      <c r="BR277" s="218"/>
      <c r="BS277" s="218"/>
      <c r="BT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18"/>
      <c r="BL279" s="218"/>
      <c r="BM279" s="218"/>
      <c r="BN279" s="218"/>
      <c r="BO279" s="218"/>
      <c r="BP279" s="218"/>
      <c r="BQ279" s="218"/>
      <c r="BR279" s="218"/>
      <c r="BS279" s="218"/>
      <c r="BT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18"/>
      <c r="BL280" s="218"/>
      <c r="BM280" s="218"/>
      <c r="BN280" s="218"/>
      <c r="BO280" s="218"/>
      <c r="BP280" s="218"/>
      <c r="BQ280" s="218"/>
      <c r="BR280" s="218"/>
      <c r="BS280" s="218"/>
      <c r="BT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18"/>
      <c r="BL281" s="218"/>
      <c r="BM281" s="218"/>
      <c r="BN281" s="218"/>
      <c r="BO281" s="218"/>
      <c r="BP281" s="218"/>
      <c r="BQ281" s="218"/>
      <c r="BR281" s="218"/>
      <c r="BS281" s="218"/>
      <c r="BT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18"/>
      <c r="BL282" s="218"/>
      <c r="BM282" s="218"/>
      <c r="BN282" s="218"/>
      <c r="BO282" s="218"/>
      <c r="BP282" s="218"/>
      <c r="BQ282" s="218"/>
      <c r="BR282" s="218"/>
      <c r="BS282" s="218"/>
      <c r="BT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18"/>
      <c r="BL283" s="218"/>
      <c r="BM283" s="218"/>
      <c r="BN283" s="218"/>
      <c r="BO283" s="218"/>
      <c r="BP283" s="218"/>
      <c r="BQ283" s="218"/>
      <c r="BR283" s="218"/>
      <c r="BS283" s="218"/>
      <c r="BT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18"/>
      <c r="BL284" s="218"/>
      <c r="BM284" s="218"/>
      <c r="BN284" s="218"/>
      <c r="BO284" s="218"/>
      <c r="BP284" s="218"/>
      <c r="BQ284" s="218"/>
      <c r="BR284" s="218"/>
      <c r="BS284" s="218"/>
      <c r="BT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  <c r="BB285" s="218"/>
      <c r="BC285" s="218"/>
      <c r="BD285" s="218"/>
      <c r="BE285" s="218"/>
      <c r="BF285" s="218"/>
      <c r="BG285" s="218"/>
      <c r="BH285" s="218"/>
      <c r="BI285" s="218"/>
      <c r="BJ285" s="218"/>
      <c r="BK285" s="218"/>
      <c r="BL285" s="218"/>
      <c r="BM285" s="218"/>
      <c r="BN285" s="218"/>
      <c r="BO285" s="218"/>
      <c r="BP285" s="218"/>
      <c r="BQ285" s="218"/>
      <c r="BR285" s="218"/>
      <c r="BS285" s="218"/>
      <c r="BT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  <c r="BB286" s="218"/>
      <c r="BC286" s="218"/>
      <c r="BD286" s="218"/>
      <c r="BE286" s="218"/>
      <c r="BF286" s="218"/>
      <c r="BG286" s="218"/>
      <c r="BH286" s="218"/>
      <c r="BI286" s="218"/>
      <c r="BJ286" s="218"/>
      <c r="BK286" s="218"/>
      <c r="BL286" s="218"/>
      <c r="BM286" s="218"/>
      <c r="BN286" s="218"/>
      <c r="BO286" s="218"/>
      <c r="BP286" s="218"/>
      <c r="BQ286" s="218"/>
      <c r="BR286" s="218"/>
      <c r="BS286" s="218"/>
      <c r="BT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  <c r="BB287" s="218"/>
      <c r="BC287" s="218"/>
      <c r="BD287" s="218"/>
      <c r="BE287" s="218"/>
      <c r="BF287" s="218"/>
      <c r="BG287" s="218"/>
      <c r="BH287" s="218"/>
      <c r="BI287" s="218"/>
      <c r="BJ287" s="218"/>
      <c r="BK287" s="218"/>
      <c r="BL287" s="218"/>
      <c r="BM287" s="218"/>
      <c r="BN287" s="218"/>
      <c r="BO287" s="218"/>
      <c r="BP287" s="218"/>
      <c r="BQ287" s="218"/>
      <c r="BR287" s="218"/>
      <c r="BS287" s="218"/>
      <c r="BT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  <c r="BB288" s="218"/>
      <c r="BC288" s="218"/>
      <c r="BD288" s="218"/>
      <c r="BE288" s="218"/>
      <c r="BF288" s="218"/>
      <c r="BG288" s="218"/>
      <c r="BH288" s="218"/>
      <c r="BI288" s="218"/>
      <c r="BJ288" s="218"/>
      <c r="BK288" s="218"/>
      <c r="BL288" s="218"/>
      <c r="BM288" s="218"/>
      <c r="BN288" s="218"/>
      <c r="BO288" s="218"/>
      <c r="BP288" s="218"/>
      <c r="BQ288" s="218"/>
      <c r="BR288" s="218"/>
      <c r="BS288" s="218"/>
      <c r="BT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  <c r="BB289" s="218"/>
      <c r="BC289" s="218"/>
      <c r="BD289" s="218"/>
      <c r="BE289" s="218"/>
      <c r="BF289" s="218"/>
      <c r="BG289" s="218"/>
      <c r="BH289" s="218"/>
      <c r="BI289" s="218"/>
      <c r="BJ289" s="218"/>
      <c r="BK289" s="218"/>
      <c r="BL289" s="218"/>
      <c r="BM289" s="218"/>
      <c r="BN289" s="218"/>
      <c r="BO289" s="218"/>
      <c r="BP289" s="218"/>
      <c r="BQ289" s="218"/>
      <c r="BR289" s="218"/>
      <c r="BS289" s="218"/>
      <c r="BT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  <c r="BB290" s="218"/>
      <c r="BC290" s="218"/>
      <c r="BD290" s="218"/>
      <c r="BE290" s="218"/>
      <c r="BF290" s="218"/>
      <c r="BG290" s="218"/>
      <c r="BH290" s="218"/>
      <c r="BI290" s="218"/>
      <c r="BJ290" s="218"/>
      <c r="BK290" s="218"/>
      <c r="BL290" s="218"/>
      <c r="BM290" s="218"/>
      <c r="BN290" s="218"/>
      <c r="BO290" s="218"/>
      <c r="BP290" s="218"/>
      <c r="BQ290" s="218"/>
      <c r="BR290" s="218"/>
      <c r="BS290" s="218"/>
      <c r="BT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  <c r="BB291" s="218"/>
      <c r="BC291" s="218"/>
      <c r="BD291" s="218"/>
      <c r="BE291" s="218"/>
      <c r="BF291" s="218"/>
      <c r="BG291" s="218"/>
      <c r="BH291" s="218"/>
      <c r="BI291" s="218"/>
      <c r="BJ291" s="218"/>
      <c r="BK291" s="218"/>
      <c r="BL291" s="218"/>
      <c r="BM291" s="218"/>
      <c r="BN291" s="218"/>
      <c r="BO291" s="218"/>
      <c r="BP291" s="218"/>
      <c r="BQ291" s="218"/>
      <c r="BR291" s="218"/>
      <c r="BS291" s="218"/>
      <c r="BT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  <c r="BB292" s="218"/>
      <c r="BC292" s="218"/>
      <c r="BD292" s="218"/>
      <c r="BE292" s="218"/>
      <c r="BF292" s="218"/>
      <c r="BG292" s="218"/>
      <c r="BH292" s="218"/>
      <c r="BI292" s="218"/>
      <c r="BJ292" s="218"/>
      <c r="BK292" s="218"/>
      <c r="BL292" s="218"/>
      <c r="BM292" s="218"/>
      <c r="BN292" s="218"/>
      <c r="BO292" s="218"/>
      <c r="BP292" s="218"/>
      <c r="BQ292" s="218"/>
      <c r="BR292" s="218"/>
      <c r="BS292" s="218"/>
      <c r="BT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  <c r="BB293" s="218"/>
      <c r="BC293" s="218"/>
      <c r="BD293" s="218"/>
      <c r="BE293" s="218"/>
      <c r="BF293" s="218"/>
      <c r="BG293" s="218"/>
      <c r="BH293" s="218"/>
      <c r="BI293" s="218"/>
      <c r="BJ293" s="218"/>
      <c r="BK293" s="218"/>
      <c r="BL293" s="218"/>
      <c r="BM293" s="218"/>
      <c r="BN293" s="218"/>
      <c r="BO293" s="218"/>
      <c r="BP293" s="218"/>
      <c r="BQ293" s="218"/>
      <c r="BR293" s="218"/>
      <c r="BS293" s="218"/>
      <c r="BT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  <c r="BB294" s="218"/>
      <c r="BC294" s="218"/>
      <c r="BD294" s="218"/>
      <c r="BE294" s="218"/>
      <c r="BF294" s="218"/>
      <c r="BG294" s="218"/>
      <c r="BH294" s="218"/>
      <c r="BI294" s="218"/>
      <c r="BJ294" s="218"/>
      <c r="BK294" s="218"/>
      <c r="BL294" s="218"/>
      <c r="BM294" s="218"/>
      <c r="BN294" s="218"/>
      <c r="BO294" s="218"/>
      <c r="BP294" s="218"/>
      <c r="BQ294" s="218"/>
      <c r="BR294" s="218"/>
      <c r="BS294" s="218"/>
      <c r="BT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  <c r="BB295" s="218"/>
      <c r="BC295" s="218"/>
      <c r="BD295" s="218"/>
      <c r="BE295" s="218"/>
      <c r="BF295" s="218"/>
      <c r="BG295" s="218"/>
      <c r="BH295" s="218"/>
      <c r="BI295" s="218"/>
      <c r="BJ295" s="218"/>
      <c r="BK295" s="218"/>
      <c r="BL295" s="218"/>
      <c r="BM295" s="218"/>
      <c r="BN295" s="218"/>
      <c r="BO295" s="218"/>
      <c r="BP295" s="218"/>
      <c r="BQ295" s="218"/>
      <c r="BR295" s="218"/>
      <c r="BS295" s="218"/>
      <c r="BT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  <c r="BB296" s="218"/>
      <c r="BC296" s="218"/>
      <c r="BD296" s="218"/>
      <c r="BE296" s="218"/>
      <c r="BF296" s="218"/>
      <c r="BG296" s="218"/>
      <c r="BH296" s="218"/>
      <c r="BI296" s="218"/>
      <c r="BJ296" s="218"/>
      <c r="BK296" s="218"/>
      <c r="BL296" s="218"/>
      <c r="BM296" s="218"/>
      <c r="BN296" s="218"/>
      <c r="BO296" s="218"/>
      <c r="BP296" s="218"/>
      <c r="BQ296" s="218"/>
      <c r="BR296" s="218"/>
      <c r="BS296" s="218"/>
      <c r="BT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  <c r="BB297" s="218"/>
      <c r="BC297" s="218"/>
      <c r="BD297" s="218"/>
      <c r="BE297" s="218"/>
      <c r="BF297" s="218"/>
      <c r="BG297" s="218"/>
      <c r="BH297" s="218"/>
      <c r="BI297" s="218"/>
      <c r="BJ297" s="218"/>
      <c r="BK297" s="218"/>
      <c r="BL297" s="218"/>
      <c r="BM297" s="218"/>
      <c r="BN297" s="218"/>
      <c r="BO297" s="218"/>
      <c r="BP297" s="218"/>
      <c r="BQ297" s="218"/>
      <c r="BR297" s="218"/>
      <c r="BS297" s="218"/>
      <c r="BT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  <c r="BB298" s="218"/>
      <c r="BC298" s="218"/>
      <c r="BD298" s="218"/>
      <c r="BE298" s="218"/>
      <c r="BF298" s="218"/>
      <c r="BG298" s="218"/>
      <c r="BH298" s="218"/>
      <c r="BI298" s="218"/>
      <c r="BJ298" s="218"/>
      <c r="BK298" s="218"/>
      <c r="BL298" s="218"/>
      <c r="BM298" s="218"/>
      <c r="BN298" s="218"/>
      <c r="BO298" s="218"/>
      <c r="BP298" s="218"/>
      <c r="BQ298" s="218"/>
      <c r="BR298" s="218"/>
      <c r="BS298" s="218"/>
      <c r="BT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  <c r="BB299" s="218"/>
      <c r="BC299" s="218"/>
      <c r="BD299" s="218"/>
      <c r="BE299" s="218"/>
      <c r="BF299" s="218"/>
      <c r="BG299" s="218"/>
      <c r="BH299" s="218"/>
      <c r="BI299" s="218"/>
      <c r="BJ299" s="218"/>
      <c r="BK299" s="218"/>
      <c r="BL299" s="218"/>
      <c r="BM299" s="218"/>
      <c r="BN299" s="218"/>
      <c r="BO299" s="218"/>
      <c r="BP299" s="218"/>
      <c r="BQ299" s="218"/>
      <c r="BR299" s="218"/>
      <c r="BS299" s="218"/>
      <c r="BT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  <c r="BB300" s="218"/>
      <c r="BC300" s="218"/>
      <c r="BD300" s="218"/>
      <c r="BE300" s="218"/>
      <c r="BF300" s="218"/>
      <c r="BG300" s="218"/>
      <c r="BH300" s="218"/>
      <c r="BI300" s="218"/>
      <c r="BJ300" s="218"/>
      <c r="BK300" s="218"/>
      <c r="BL300" s="218"/>
      <c r="BM300" s="218"/>
      <c r="BN300" s="218"/>
      <c r="BO300" s="218"/>
      <c r="BP300" s="218"/>
      <c r="BQ300" s="218"/>
      <c r="BR300" s="218"/>
      <c r="BS300" s="218"/>
      <c r="BT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  <c r="BB301" s="218"/>
      <c r="BC301" s="218"/>
      <c r="BD301" s="218"/>
      <c r="BE301" s="218"/>
      <c r="BF301" s="218"/>
      <c r="BG301" s="218"/>
      <c r="BH301" s="218"/>
      <c r="BI301" s="218"/>
      <c r="BJ301" s="218"/>
      <c r="BK301" s="218"/>
      <c r="BL301" s="218"/>
      <c r="BM301" s="218"/>
      <c r="BN301" s="218"/>
      <c r="BO301" s="218"/>
      <c r="BP301" s="218"/>
      <c r="BQ301" s="218"/>
      <c r="BR301" s="218"/>
      <c r="BS301" s="218"/>
      <c r="BT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  <c r="BB302" s="218"/>
      <c r="BC302" s="218"/>
      <c r="BD302" s="218"/>
      <c r="BE302" s="218"/>
      <c r="BF302" s="218"/>
      <c r="BG302" s="218"/>
      <c r="BH302" s="218"/>
      <c r="BI302" s="218"/>
      <c r="BJ302" s="218"/>
      <c r="BK302" s="218"/>
      <c r="BL302" s="218"/>
      <c r="BM302" s="218"/>
      <c r="BN302" s="218"/>
      <c r="BO302" s="218"/>
      <c r="BP302" s="218"/>
      <c r="BQ302" s="218"/>
      <c r="BR302" s="218"/>
      <c r="BS302" s="218"/>
      <c r="BT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  <c r="BB303" s="218"/>
      <c r="BC303" s="218"/>
      <c r="BD303" s="218"/>
      <c r="BE303" s="218"/>
      <c r="BF303" s="218"/>
      <c r="BG303" s="218"/>
      <c r="BH303" s="218"/>
      <c r="BI303" s="218"/>
      <c r="BJ303" s="218"/>
      <c r="BK303" s="218"/>
      <c r="BL303" s="218"/>
      <c r="BM303" s="218"/>
      <c r="BN303" s="218"/>
      <c r="BO303" s="218"/>
      <c r="BP303" s="218"/>
      <c r="BQ303" s="218"/>
      <c r="BR303" s="218"/>
      <c r="BS303" s="218"/>
      <c r="BT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  <c r="BB304" s="218"/>
      <c r="BC304" s="218"/>
      <c r="BD304" s="218"/>
      <c r="BE304" s="218"/>
      <c r="BF304" s="218"/>
      <c r="BG304" s="218"/>
      <c r="BH304" s="218"/>
      <c r="BI304" s="218"/>
      <c r="BJ304" s="218"/>
      <c r="BK304" s="218"/>
      <c r="BL304" s="218"/>
      <c r="BM304" s="218"/>
      <c r="BN304" s="218"/>
      <c r="BO304" s="218"/>
      <c r="BP304" s="218"/>
      <c r="BQ304" s="218"/>
      <c r="BR304" s="218"/>
      <c r="BS304" s="218"/>
      <c r="BT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  <c r="BB305" s="218"/>
      <c r="BC305" s="218"/>
      <c r="BD305" s="218"/>
      <c r="BE305" s="218"/>
      <c r="BF305" s="218"/>
      <c r="BG305" s="218"/>
      <c r="BH305" s="218"/>
      <c r="BI305" s="218"/>
      <c r="BJ305" s="218"/>
      <c r="BK305" s="218"/>
      <c r="BL305" s="218"/>
      <c r="BM305" s="218"/>
      <c r="BN305" s="218"/>
      <c r="BO305" s="218"/>
      <c r="BP305" s="218"/>
      <c r="BQ305" s="218"/>
      <c r="BR305" s="218"/>
      <c r="BS305" s="218"/>
      <c r="BT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  <c r="BB306" s="218"/>
      <c r="BC306" s="218"/>
      <c r="BD306" s="218"/>
      <c r="BE306" s="218"/>
      <c r="BF306" s="218"/>
      <c r="BG306" s="218"/>
      <c r="BH306" s="218"/>
      <c r="BI306" s="218"/>
      <c r="BJ306" s="218"/>
      <c r="BK306" s="218"/>
      <c r="BL306" s="218"/>
      <c r="BM306" s="218"/>
      <c r="BN306" s="218"/>
      <c r="BO306" s="218"/>
      <c r="BP306" s="218"/>
      <c r="BQ306" s="218"/>
      <c r="BR306" s="218"/>
      <c r="BS306" s="218"/>
      <c r="BT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  <c r="BB307" s="218"/>
      <c r="BC307" s="218"/>
      <c r="BD307" s="218"/>
      <c r="BE307" s="218"/>
      <c r="BF307" s="218"/>
      <c r="BG307" s="218"/>
      <c r="BH307" s="218"/>
      <c r="BI307" s="218"/>
      <c r="BJ307" s="218"/>
      <c r="BK307" s="218"/>
      <c r="BL307" s="218"/>
      <c r="BM307" s="218"/>
      <c r="BN307" s="218"/>
      <c r="BO307" s="218"/>
      <c r="BP307" s="218"/>
      <c r="BQ307" s="218"/>
      <c r="BR307" s="218"/>
      <c r="BS307" s="218"/>
      <c r="BT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  <c r="BB308" s="218"/>
      <c r="BC308" s="218"/>
      <c r="BD308" s="218"/>
      <c r="BE308" s="218"/>
      <c r="BF308" s="218"/>
      <c r="BG308" s="218"/>
      <c r="BH308" s="218"/>
      <c r="BI308" s="218"/>
      <c r="BJ308" s="218"/>
      <c r="BK308" s="218"/>
      <c r="BL308" s="218"/>
      <c r="BM308" s="218"/>
      <c r="BN308" s="218"/>
      <c r="BO308" s="218"/>
      <c r="BP308" s="218"/>
      <c r="BQ308" s="218"/>
      <c r="BR308" s="218"/>
      <c r="BS308" s="218"/>
      <c r="BT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  <c r="BB309" s="218"/>
      <c r="BC309" s="218"/>
      <c r="BD309" s="218"/>
      <c r="BE309" s="218"/>
      <c r="BF309" s="218"/>
      <c r="BG309" s="218"/>
      <c r="BH309" s="218"/>
      <c r="BI309" s="218"/>
      <c r="BJ309" s="218"/>
      <c r="BK309" s="218"/>
      <c r="BL309" s="218"/>
      <c r="BM309" s="218"/>
      <c r="BN309" s="218"/>
      <c r="BO309" s="218"/>
      <c r="BP309" s="218"/>
      <c r="BQ309" s="218"/>
      <c r="BR309" s="218"/>
      <c r="BS309" s="218"/>
      <c r="BT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  <c r="BB310" s="218"/>
      <c r="BC310" s="218"/>
      <c r="BD310" s="218"/>
      <c r="BE310" s="218"/>
      <c r="BF310" s="218"/>
      <c r="BG310" s="218"/>
      <c r="BH310" s="218"/>
      <c r="BI310" s="218"/>
      <c r="BJ310" s="218"/>
      <c r="BK310" s="218"/>
      <c r="BL310" s="218"/>
      <c r="BM310" s="218"/>
      <c r="BN310" s="218"/>
      <c r="BO310" s="218"/>
      <c r="BP310" s="218"/>
      <c r="BQ310" s="218"/>
      <c r="BR310" s="218"/>
      <c r="BS310" s="218"/>
      <c r="BT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  <c r="BB311" s="218"/>
      <c r="BC311" s="218"/>
      <c r="BD311" s="218"/>
      <c r="BE311" s="218"/>
      <c r="BF311" s="218"/>
      <c r="BG311" s="218"/>
      <c r="BH311" s="218"/>
      <c r="BI311" s="218"/>
      <c r="BJ311" s="218"/>
      <c r="BK311" s="218"/>
      <c r="BL311" s="218"/>
      <c r="BM311" s="218"/>
      <c r="BN311" s="218"/>
      <c r="BO311" s="218"/>
      <c r="BP311" s="218"/>
      <c r="BQ311" s="218"/>
      <c r="BR311" s="218"/>
      <c r="BS311" s="218"/>
      <c r="BT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  <c r="BB312" s="218"/>
      <c r="BC312" s="218"/>
      <c r="BD312" s="218"/>
      <c r="BE312" s="218"/>
      <c r="BF312" s="218"/>
      <c r="BG312" s="218"/>
      <c r="BH312" s="218"/>
      <c r="BI312" s="218"/>
      <c r="BJ312" s="218"/>
      <c r="BK312" s="218"/>
      <c r="BL312" s="218"/>
      <c r="BM312" s="218"/>
      <c r="BN312" s="218"/>
      <c r="BO312" s="218"/>
      <c r="BP312" s="218"/>
      <c r="BQ312" s="218"/>
      <c r="BR312" s="218"/>
      <c r="BS312" s="218"/>
      <c r="BT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  <c r="BB313" s="218"/>
      <c r="BC313" s="218"/>
      <c r="BD313" s="218"/>
      <c r="BE313" s="218"/>
      <c r="BF313" s="218"/>
      <c r="BG313" s="218"/>
      <c r="BH313" s="218"/>
      <c r="BI313" s="218"/>
      <c r="BJ313" s="218"/>
      <c r="BK313" s="218"/>
      <c r="BL313" s="218"/>
      <c r="BM313" s="218"/>
      <c r="BN313" s="218"/>
      <c r="BO313" s="218"/>
      <c r="BP313" s="218"/>
      <c r="BQ313" s="218"/>
      <c r="BR313" s="218"/>
      <c r="BS313" s="218"/>
      <c r="BT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  <c r="BB314" s="218"/>
      <c r="BC314" s="218"/>
      <c r="BD314" s="218"/>
      <c r="BE314" s="218"/>
      <c r="BF314" s="218"/>
      <c r="BG314" s="218"/>
      <c r="BH314" s="218"/>
      <c r="BI314" s="218"/>
      <c r="BJ314" s="218"/>
      <c r="BK314" s="218"/>
      <c r="BL314" s="218"/>
      <c r="BM314" s="218"/>
      <c r="BN314" s="218"/>
      <c r="BO314" s="218"/>
      <c r="BP314" s="218"/>
      <c r="BQ314" s="218"/>
      <c r="BR314" s="218"/>
      <c r="BS314" s="218"/>
      <c r="BT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  <c r="BB315" s="218"/>
      <c r="BC315" s="218"/>
      <c r="BD315" s="218"/>
      <c r="BE315" s="218"/>
      <c r="BF315" s="218"/>
      <c r="BG315" s="218"/>
      <c r="BH315" s="218"/>
      <c r="BI315" s="218"/>
      <c r="BJ315" s="218"/>
      <c r="BK315" s="218"/>
      <c r="BL315" s="218"/>
      <c r="BM315" s="218"/>
      <c r="BN315" s="218"/>
      <c r="BO315" s="218"/>
      <c r="BP315" s="218"/>
      <c r="BQ315" s="218"/>
      <c r="BR315" s="218"/>
      <c r="BS315" s="218"/>
      <c r="BT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  <c r="BB316" s="218"/>
      <c r="BC316" s="218"/>
      <c r="BD316" s="218"/>
      <c r="BE316" s="218"/>
      <c r="BF316" s="218"/>
      <c r="BG316" s="218"/>
      <c r="BH316" s="218"/>
      <c r="BI316" s="218"/>
      <c r="BJ316" s="218"/>
      <c r="BK316" s="218"/>
      <c r="BL316" s="218"/>
      <c r="BM316" s="218"/>
      <c r="BN316" s="218"/>
      <c r="BO316" s="218"/>
      <c r="BP316" s="218"/>
      <c r="BQ316" s="218"/>
      <c r="BR316" s="218"/>
      <c r="BS316" s="218"/>
      <c r="BT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  <c r="BB317" s="218"/>
      <c r="BC317" s="218"/>
      <c r="BD317" s="218"/>
      <c r="BE317" s="218"/>
      <c r="BF317" s="218"/>
      <c r="BG317" s="218"/>
      <c r="BH317" s="218"/>
      <c r="BI317" s="218"/>
      <c r="BJ317" s="218"/>
      <c r="BK317" s="218"/>
      <c r="BL317" s="218"/>
      <c r="BM317" s="218"/>
      <c r="BN317" s="218"/>
      <c r="BO317" s="218"/>
      <c r="BP317" s="218"/>
      <c r="BQ317" s="218"/>
      <c r="BR317" s="218"/>
      <c r="BS317" s="218"/>
      <c r="BT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  <c r="BB318" s="218"/>
      <c r="BC318" s="218"/>
      <c r="BD318" s="218"/>
      <c r="BE318" s="218"/>
      <c r="BF318" s="218"/>
      <c r="BG318" s="218"/>
      <c r="BH318" s="218"/>
      <c r="BI318" s="218"/>
      <c r="BJ318" s="218"/>
      <c r="BK318" s="218"/>
      <c r="BL318" s="218"/>
      <c r="BM318" s="218"/>
      <c r="BN318" s="218"/>
      <c r="BO318" s="218"/>
      <c r="BP318" s="218"/>
      <c r="BQ318" s="218"/>
      <c r="BR318" s="218"/>
      <c r="BS318" s="218"/>
      <c r="BT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  <c r="BB319" s="218"/>
      <c r="BC319" s="218"/>
      <c r="BD319" s="218"/>
      <c r="BE319" s="218"/>
      <c r="BF319" s="218"/>
      <c r="BG319" s="218"/>
      <c r="BH319" s="218"/>
      <c r="BI319" s="218"/>
      <c r="BJ319" s="218"/>
      <c r="BK319" s="218"/>
      <c r="BL319" s="218"/>
      <c r="BM319" s="218"/>
      <c r="BN319" s="218"/>
      <c r="BO319" s="218"/>
      <c r="BP319" s="218"/>
      <c r="BQ319" s="218"/>
      <c r="BR319" s="218"/>
      <c r="BS319" s="218"/>
      <c r="BT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  <c r="BB320" s="218"/>
      <c r="BC320" s="218"/>
      <c r="BD320" s="218"/>
      <c r="BE320" s="218"/>
      <c r="BF320" s="218"/>
      <c r="BG320" s="218"/>
      <c r="BH320" s="218"/>
      <c r="BI320" s="218"/>
      <c r="BJ320" s="218"/>
      <c r="BK320" s="218"/>
      <c r="BL320" s="218"/>
      <c r="BM320" s="218"/>
      <c r="BN320" s="218"/>
      <c r="BO320" s="218"/>
      <c r="BP320" s="218"/>
      <c r="BQ320" s="218"/>
      <c r="BR320" s="218"/>
      <c r="BS320" s="218"/>
      <c r="BT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  <c r="BB321" s="218"/>
      <c r="BC321" s="218"/>
      <c r="BD321" s="218"/>
      <c r="BE321" s="218"/>
      <c r="BF321" s="218"/>
      <c r="BG321" s="218"/>
      <c r="BH321" s="218"/>
      <c r="BI321" s="218"/>
      <c r="BJ321" s="218"/>
      <c r="BK321" s="218"/>
      <c r="BL321" s="218"/>
      <c r="BM321" s="218"/>
      <c r="BN321" s="218"/>
      <c r="BO321" s="218"/>
      <c r="BP321" s="218"/>
      <c r="BQ321" s="218"/>
      <c r="BR321" s="218"/>
      <c r="BS321" s="218"/>
      <c r="BT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  <c r="BB322" s="218"/>
      <c r="BC322" s="218"/>
      <c r="BD322" s="218"/>
      <c r="BE322" s="218"/>
      <c r="BF322" s="218"/>
      <c r="BG322" s="218"/>
      <c r="BH322" s="218"/>
      <c r="BI322" s="218"/>
      <c r="BJ322" s="218"/>
      <c r="BK322" s="218"/>
      <c r="BL322" s="218"/>
      <c r="BM322" s="218"/>
      <c r="BN322" s="218"/>
      <c r="BO322" s="218"/>
      <c r="BP322" s="218"/>
      <c r="BQ322" s="218"/>
      <c r="BR322" s="218"/>
      <c r="BS322" s="218"/>
      <c r="BT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  <c r="BB323" s="218"/>
      <c r="BC323" s="218"/>
      <c r="BD323" s="218"/>
      <c r="BE323" s="218"/>
      <c r="BF323" s="218"/>
      <c r="BG323" s="218"/>
      <c r="BH323" s="218"/>
      <c r="BI323" s="218"/>
      <c r="BJ323" s="218"/>
      <c r="BK323" s="218"/>
      <c r="BL323" s="218"/>
      <c r="BM323" s="218"/>
      <c r="BN323" s="218"/>
      <c r="BO323" s="218"/>
      <c r="BP323" s="218"/>
      <c r="BQ323" s="218"/>
      <c r="BR323" s="218"/>
      <c r="BS323" s="218"/>
      <c r="BT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  <c r="BB324" s="218"/>
      <c r="BC324" s="218"/>
      <c r="BD324" s="218"/>
      <c r="BE324" s="218"/>
      <c r="BF324" s="218"/>
      <c r="BG324" s="218"/>
      <c r="BH324" s="218"/>
      <c r="BI324" s="218"/>
      <c r="BJ324" s="218"/>
      <c r="BK324" s="218"/>
      <c r="BL324" s="218"/>
      <c r="BM324" s="218"/>
      <c r="BN324" s="218"/>
      <c r="BO324" s="218"/>
      <c r="BP324" s="218"/>
      <c r="BQ324" s="218"/>
      <c r="BR324" s="218"/>
      <c r="BS324" s="218"/>
      <c r="BT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  <c r="BB325" s="218"/>
      <c r="BC325" s="218"/>
      <c r="BD325" s="218"/>
      <c r="BE325" s="218"/>
      <c r="BF325" s="218"/>
      <c r="BG325" s="218"/>
      <c r="BH325" s="218"/>
      <c r="BI325" s="218"/>
      <c r="BJ325" s="218"/>
      <c r="BK325" s="218"/>
      <c r="BL325" s="218"/>
      <c r="BM325" s="218"/>
      <c r="BN325" s="218"/>
      <c r="BO325" s="218"/>
      <c r="BP325" s="218"/>
      <c r="BQ325" s="218"/>
      <c r="BR325" s="218"/>
      <c r="BS325" s="218"/>
      <c r="BT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  <c r="BB326" s="218"/>
      <c r="BC326" s="218"/>
      <c r="BD326" s="218"/>
      <c r="BE326" s="218"/>
      <c r="BF326" s="218"/>
      <c r="BG326" s="218"/>
      <c r="BH326" s="218"/>
      <c r="BI326" s="218"/>
      <c r="BJ326" s="218"/>
      <c r="BK326" s="218"/>
      <c r="BL326" s="218"/>
      <c r="BM326" s="218"/>
      <c r="BN326" s="218"/>
      <c r="BO326" s="218"/>
      <c r="BP326" s="218"/>
      <c r="BQ326" s="218"/>
      <c r="BR326" s="218"/>
      <c r="BS326" s="218"/>
      <c r="BT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  <c r="BB327" s="218"/>
      <c r="BC327" s="218"/>
      <c r="BD327" s="218"/>
      <c r="BE327" s="218"/>
      <c r="BF327" s="218"/>
      <c r="BG327" s="218"/>
      <c r="BH327" s="218"/>
      <c r="BI327" s="218"/>
      <c r="BJ327" s="218"/>
      <c r="BK327" s="218"/>
      <c r="BL327" s="218"/>
      <c r="BM327" s="218"/>
      <c r="BN327" s="218"/>
      <c r="BO327" s="218"/>
      <c r="BP327" s="218"/>
      <c r="BQ327" s="218"/>
      <c r="BR327" s="218"/>
      <c r="BS327" s="218"/>
      <c r="BT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  <c r="BB328" s="218"/>
      <c r="BC328" s="218"/>
      <c r="BD328" s="218"/>
      <c r="BE328" s="218"/>
      <c r="BF328" s="218"/>
      <c r="BG328" s="218"/>
      <c r="BH328" s="218"/>
      <c r="BI328" s="218"/>
      <c r="BJ328" s="218"/>
      <c r="BK328" s="218"/>
      <c r="BL328" s="218"/>
      <c r="BM328" s="218"/>
      <c r="BN328" s="218"/>
      <c r="BO328" s="218"/>
      <c r="BP328" s="218"/>
      <c r="BQ328" s="218"/>
      <c r="BR328" s="218"/>
      <c r="BS328" s="218"/>
      <c r="BT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  <c r="BB329" s="218"/>
      <c r="BC329" s="218"/>
      <c r="BD329" s="218"/>
      <c r="BE329" s="218"/>
      <c r="BF329" s="218"/>
      <c r="BG329" s="218"/>
      <c r="BH329" s="218"/>
      <c r="BI329" s="218"/>
      <c r="BJ329" s="218"/>
      <c r="BK329" s="218"/>
      <c r="BL329" s="218"/>
      <c r="BM329" s="218"/>
      <c r="BN329" s="218"/>
      <c r="BO329" s="218"/>
      <c r="BP329" s="218"/>
      <c r="BQ329" s="218"/>
      <c r="BR329" s="218"/>
      <c r="BS329" s="218"/>
      <c r="BT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  <c r="BB330" s="218"/>
      <c r="BC330" s="218"/>
      <c r="BD330" s="218"/>
      <c r="BE330" s="218"/>
      <c r="BF330" s="218"/>
      <c r="BG330" s="218"/>
      <c r="BH330" s="218"/>
      <c r="BI330" s="218"/>
      <c r="BJ330" s="218"/>
      <c r="BK330" s="218"/>
      <c r="BL330" s="218"/>
      <c r="BM330" s="218"/>
      <c r="BN330" s="218"/>
      <c r="BO330" s="218"/>
      <c r="BP330" s="218"/>
      <c r="BQ330" s="218"/>
      <c r="BR330" s="218"/>
      <c r="BS330" s="218"/>
      <c r="BT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  <c r="BB331" s="218"/>
      <c r="BC331" s="218"/>
      <c r="BD331" s="218"/>
      <c r="BE331" s="218"/>
      <c r="BF331" s="218"/>
      <c r="BG331" s="218"/>
      <c r="BH331" s="218"/>
      <c r="BI331" s="218"/>
      <c r="BJ331" s="218"/>
      <c r="BK331" s="218"/>
      <c r="BL331" s="218"/>
      <c r="BM331" s="218"/>
      <c r="BN331" s="218"/>
      <c r="BO331" s="218"/>
      <c r="BP331" s="218"/>
      <c r="BQ331" s="218"/>
      <c r="BR331" s="218"/>
      <c r="BS331" s="218"/>
      <c r="BT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  <c r="BB332" s="218"/>
      <c r="BC332" s="218"/>
      <c r="BD332" s="218"/>
      <c r="BE332" s="218"/>
      <c r="BF332" s="218"/>
      <c r="BG332" s="218"/>
      <c r="BH332" s="218"/>
      <c r="BI332" s="218"/>
      <c r="BJ332" s="218"/>
      <c r="BK332" s="218"/>
      <c r="BL332" s="218"/>
      <c r="BM332" s="218"/>
      <c r="BN332" s="218"/>
      <c r="BO332" s="218"/>
      <c r="BP332" s="218"/>
      <c r="BQ332" s="218"/>
      <c r="BR332" s="218"/>
      <c r="BS332" s="218"/>
      <c r="BT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  <c r="BB333" s="218"/>
      <c r="BC333" s="218"/>
      <c r="BD333" s="218"/>
      <c r="BE333" s="218"/>
      <c r="BF333" s="218"/>
      <c r="BG333" s="218"/>
      <c r="BH333" s="218"/>
      <c r="BI333" s="218"/>
      <c r="BJ333" s="218"/>
      <c r="BK333" s="218"/>
      <c r="BL333" s="218"/>
      <c r="BM333" s="218"/>
      <c r="BN333" s="218"/>
      <c r="BO333" s="218"/>
      <c r="BP333" s="218"/>
      <c r="BQ333" s="218"/>
      <c r="BR333" s="218"/>
      <c r="BS333" s="218"/>
      <c r="BT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  <c r="BB334" s="218"/>
      <c r="BC334" s="218"/>
      <c r="BD334" s="218"/>
      <c r="BE334" s="218"/>
      <c r="BF334" s="218"/>
      <c r="BG334" s="218"/>
      <c r="BH334" s="218"/>
      <c r="BI334" s="218"/>
      <c r="BJ334" s="218"/>
      <c r="BK334" s="218"/>
      <c r="BL334" s="218"/>
      <c r="BM334" s="218"/>
      <c r="BN334" s="218"/>
      <c r="BO334" s="218"/>
      <c r="BP334" s="218"/>
      <c r="BQ334" s="218"/>
      <c r="BR334" s="218"/>
      <c r="BS334" s="218"/>
      <c r="BT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  <c r="BB335" s="218"/>
      <c r="BC335" s="218"/>
      <c r="BD335" s="218"/>
      <c r="BE335" s="218"/>
      <c r="BF335" s="218"/>
      <c r="BG335" s="218"/>
      <c r="BH335" s="218"/>
      <c r="BI335" s="218"/>
      <c r="BJ335" s="218"/>
      <c r="BK335" s="218"/>
      <c r="BL335" s="218"/>
      <c r="BM335" s="218"/>
      <c r="BN335" s="218"/>
      <c r="BO335" s="218"/>
      <c r="BP335" s="218"/>
      <c r="BQ335" s="218"/>
      <c r="BR335" s="218"/>
      <c r="BS335" s="218"/>
      <c r="BT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  <c r="BB336" s="218"/>
      <c r="BC336" s="218"/>
      <c r="BD336" s="218"/>
      <c r="BE336" s="218"/>
      <c r="BF336" s="218"/>
      <c r="BG336" s="218"/>
      <c r="BH336" s="218"/>
      <c r="BI336" s="218"/>
      <c r="BJ336" s="218"/>
      <c r="BK336" s="218"/>
      <c r="BL336" s="218"/>
      <c r="BM336" s="218"/>
      <c r="BN336" s="218"/>
      <c r="BO336" s="218"/>
      <c r="BP336" s="218"/>
      <c r="BQ336" s="218"/>
      <c r="BR336" s="218"/>
      <c r="BS336" s="218"/>
      <c r="BT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  <c r="BB337" s="218"/>
      <c r="BC337" s="218"/>
      <c r="BD337" s="218"/>
      <c r="BE337" s="218"/>
      <c r="BF337" s="218"/>
      <c r="BG337" s="218"/>
      <c r="BH337" s="218"/>
      <c r="BI337" s="218"/>
      <c r="BJ337" s="218"/>
      <c r="BK337" s="218"/>
      <c r="BL337" s="218"/>
      <c r="BM337" s="218"/>
      <c r="BN337" s="218"/>
      <c r="BO337" s="218"/>
      <c r="BP337" s="218"/>
      <c r="BQ337" s="218"/>
      <c r="BR337" s="218"/>
      <c r="BS337" s="218"/>
      <c r="BT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  <c r="BB338" s="218"/>
      <c r="BC338" s="218"/>
      <c r="BD338" s="218"/>
      <c r="BE338" s="218"/>
      <c r="BF338" s="218"/>
      <c r="BG338" s="218"/>
      <c r="BH338" s="218"/>
      <c r="BI338" s="218"/>
      <c r="BJ338" s="218"/>
      <c r="BK338" s="218"/>
      <c r="BL338" s="218"/>
      <c r="BM338" s="218"/>
      <c r="BN338" s="218"/>
      <c r="BO338" s="218"/>
      <c r="BP338" s="218"/>
      <c r="BQ338" s="218"/>
      <c r="BR338" s="218"/>
      <c r="BS338" s="218"/>
      <c r="BT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  <c r="BB339" s="218"/>
      <c r="BC339" s="218"/>
      <c r="BD339" s="218"/>
      <c r="BE339" s="218"/>
      <c r="BF339" s="218"/>
      <c r="BG339" s="218"/>
      <c r="BH339" s="218"/>
      <c r="BI339" s="218"/>
      <c r="BJ339" s="218"/>
      <c r="BK339" s="218"/>
      <c r="BL339" s="218"/>
      <c r="BM339" s="218"/>
      <c r="BN339" s="218"/>
      <c r="BO339" s="218"/>
      <c r="BP339" s="218"/>
      <c r="BQ339" s="218"/>
      <c r="BR339" s="218"/>
      <c r="BS339" s="218"/>
      <c r="BT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  <c r="BB340" s="218"/>
      <c r="BC340" s="218"/>
      <c r="BD340" s="218"/>
      <c r="BE340" s="218"/>
      <c r="BF340" s="218"/>
      <c r="BG340" s="218"/>
      <c r="BH340" s="218"/>
      <c r="BI340" s="218"/>
      <c r="BJ340" s="218"/>
      <c r="BK340" s="218"/>
      <c r="BL340" s="218"/>
      <c r="BM340" s="218"/>
      <c r="BN340" s="218"/>
      <c r="BO340" s="218"/>
      <c r="BP340" s="218"/>
      <c r="BQ340" s="218"/>
      <c r="BR340" s="218"/>
      <c r="BS340" s="218"/>
      <c r="BT340" s="218"/>
    </row>
    <row r="341" ht="12.0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  <c r="BB341" s="218"/>
      <c r="BC341" s="218"/>
      <c r="BD341" s="218"/>
      <c r="BE341" s="218"/>
      <c r="BF341" s="218"/>
      <c r="BG341" s="218"/>
      <c r="BH341" s="218"/>
      <c r="BI341" s="218"/>
      <c r="BJ341" s="218"/>
      <c r="BK341" s="218"/>
      <c r="BL341" s="218"/>
      <c r="BM341" s="218"/>
      <c r="BN341" s="218"/>
      <c r="BO341" s="218"/>
      <c r="BP341" s="218"/>
      <c r="BQ341" s="218"/>
      <c r="BR341" s="218"/>
      <c r="BS341" s="218"/>
      <c r="BT341" s="218"/>
    </row>
    <row r="342" ht="12.0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  <c r="BB342" s="218"/>
      <c r="BC342" s="218"/>
      <c r="BD342" s="218"/>
      <c r="BE342" s="218"/>
      <c r="BF342" s="218"/>
      <c r="BG342" s="218"/>
      <c r="BH342" s="218"/>
      <c r="BI342" s="218"/>
      <c r="BJ342" s="218"/>
      <c r="BK342" s="218"/>
      <c r="BL342" s="218"/>
      <c r="BM342" s="218"/>
      <c r="BN342" s="218"/>
      <c r="BO342" s="218"/>
      <c r="BP342" s="218"/>
      <c r="BQ342" s="218"/>
      <c r="BR342" s="218"/>
      <c r="BS342" s="218"/>
      <c r="BT342" s="218"/>
    </row>
    <row r="343" ht="12.0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  <c r="BB343" s="218"/>
      <c r="BC343" s="218"/>
      <c r="BD343" s="218"/>
      <c r="BE343" s="218"/>
      <c r="BF343" s="218"/>
      <c r="BG343" s="218"/>
      <c r="BH343" s="218"/>
      <c r="BI343" s="218"/>
      <c r="BJ343" s="218"/>
      <c r="BK343" s="218"/>
      <c r="BL343" s="218"/>
      <c r="BM343" s="218"/>
      <c r="BN343" s="218"/>
      <c r="BO343" s="218"/>
      <c r="BP343" s="218"/>
      <c r="BQ343" s="218"/>
      <c r="BR343" s="218"/>
      <c r="BS343" s="218"/>
      <c r="BT343" s="218"/>
    </row>
    <row r="344" ht="12.0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  <c r="BB344" s="218"/>
      <c r="BC344" s="218"/>
      <c r="BD344" s="218"/>
      <c r="BE344" s="218"/>
      <c r="BF344" s="218"/>
      <c r="BG344" s="218"/>
      <c r="BH344" s="218"/>
      <c r="BI344" s="218"/>
      <c r="BJ344" s="218"/>
      <c r="BK344" s="218"/>
      <c r="BL344" s="218"/>
      <c r="BM344" s="218"/>
      <c r="BN344" s="218"/>
      <c r="BO344" s="218"/>
      <c r="BP344" s="218"/>
      <c r="BQ344" s="218"/>
      <c r="BR344" s="218"/>
      <c r="BS344" s="218"/>
      <c r="BT344" s="218"/>
    </row>
    <row r="345" ht="12.0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  <c r="BB345" s="218"/>
      <c r="BC345" s="218"/>
      <c r="BD345" s="218"/>
      <c r="BE345" s="218"/>
      <c r="BF345" s="218"/>
      <c r="BG345" s="218"/>
      <c r="BH345" s="218"/>
      <c r="BI345" s="218"/>
      <c r="BJ345" s="218"/>
      <c r="BK345" s="218"/>
      <c r="BL345" s="218"/>
      <c r="BM345" s="218"/>
      <c r="BN345" s="218"/>
      <c r="BO345" s="218"/>
      <c r="BP345" s="218"/>
      <c r="BQ345" s="218"/>
      <c r="BR345" s="218"/>
      <c r="BS345" s="218"/>
      <c r="BT345" s="218"/>
    </row>
    <row r="346" ht="12.0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  <c r="BB346" s="218"/>
      <c r="BC346" s="218"/>
      <c r="BD346" s="218"/>
      <c r="BE346" s="218"/>
      <c r="BF346" s="218"/>
      <c r="BG346" s="218"/>
      <c r="BH346" s="218"/>
      <c r="BI346" s="218"/>
      <c r="BJ346" s="218"/>
      <c r="BK346" s="218"/>
      <c r="BL346" s="218"/>
      <c r="BM346" s="218"/>
      <c r="BN346" s="218"/>
      <c r="BO346" s="218"/>
      <c r="BP346" s="218"/>
      <c r="BQ346" s="218"/>
      <c r="BR346" s="218"/>
      <c r="BS346" s="218"/>
      <c r="BT346" s="218"/>
    </row>
    <row r="347" ht="12.0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  <c r="BB347" s="218"/>
      <c r="BC347" s="218"/>
      <c r="BD347" s="218"/>
      <c r="BE347" s="218"/>
      <c r="BF347" s="218"/>
      <c r="BG347" s="218"/>
      <c r="BH347" s="218"/>
      <c r="BI347" s="218"/>
      <c r="BJ347" s="218"/>
      <c r="BK347" s="218"/>
      <c r="BL347" s="218"/>
      <c r="BM347" s="218"/>
      <c r="BN347" s="218"/>
      <c r="BO347" s="218"/>
      <c r="BP347" s="218"/>
      <c r="BQ347" s="218"/>
      <c r="BR347" s="218"/>
      <c r="BS347" s="218"/>
      <c r="BT347" s="218"/>
    </row>
    <row r="348" ht="12.0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  <c r="BB348" s="218"/>
      <c r="BC348" s="218"/>
      <c r="BD348" s="218"/>
      <c r="BE348" s="218"/>
      <c r="BF348" s="218"/>
      <c r="BG348" s="218"/>
      <c r="BH348" s="218"/>
      <c r="BI348" s="218"/>
      <c r="BJ348" s="218"/>
      <c r="BK348" s="218"/>
      <c r="BL348" s="218"/>
      <c r="BM348" s="218"/>
      <c r="BN348" s="218"/>
      <c r="BO348" s="218"/>
      <c r="BP348" s="218"/>
      <c r="BQ348" s="218"/>
      <c r="BR348" s="218"/>
      <c r="BS348" s="218"/>
      <c r="BT348" s="218"/>
    </row>
    <row r="349" ht="12.0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  <c r="BB349" s="218"/>
      <c r="BC349" s="218"/>
      <c r="BD349" s="218"/>
      <c r="BE349" s="218"/>
      <c r="BF349" s="218"/>
      <c r="BG349" s="218"/>
      <c r="BH349" s="218"/>
      <c r="BI349" s="218"/>
      <c r="BJ349" s="218"/>
      <c r="BK349" s="218"/>
      <c r="BL349" s="218"/>
      <c r="BM349" s="218"/>
      <c r="BN349" s="218"/>
      <c r="BO349" s="218"/>
      <c r="BP349" s="218"/>
      <c r="BQ349" s="218"/>
      <c r="BR349" s="218"/>
      <c r="BS349" s="218"/>
      <c r="BT349" s="218"/>
    </row>
    <row r="350" ht="12.0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  <c r="BB350" s="218"/>
      <c r="BC350" s="218"/>
      <c r="BD350" s="218"/>
      <c r="BE350" s="218"/>
      <c r="BF350" s="218"/>
      <c r="BG350" s="218"/>
      <c r="BH350" s="218"/>
      <c r="BI350" s="218"/>
      <c r="BJ350" s="218"/>
      <c r="BK350" s="218"/>
      <c r="BL350" s="218"/>
      <c r="BM350" s="218"/>
      <c r="BN350" s="218"/>
      <c r="BO350" s="218"/>
      <c r="BP350" s="218"/>
      <c r="BQ350" s="218"/>
      <c r="BR350" s="218"/>
      <c r="BS350" s="218"/>
      <c r="BT350" s="218"/>
    </row>
    <row r="351" ht="12.0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  <c r="BB351" s="218"/>
      <c r="BC351" s="218"/>
      <c r="BD351" s="218"/>
      <c r="BE351" s="218"/>
      <c r="BF351" s="218"/>
      <c r="BG351" s="218"/>
      <c r="BH351" s="218"/>
      <c r="BI351" s="218"/>
      <c r="BJ351" s="218"/>
      <c r="BK351" s="218"/>
      <c r="BL351" s="218"/>
      <c r="BM351" s="218"/>
      <c r="BN351" s="218"/>
      <c r="BO351" s="218"/>
      <c r="BP351" s="218"/>
      <c r="BQ351" s="218"/>
      <c r="BR351" s="218"/>
      <c r="BS351" s="218"/>
      <c r="BT351" s="218"/>
    </row>
    <row r="352" ht="12.0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  <c r="BB352" s="218"/>
      <c r="BC352" s="218"/>
      <c r="BD352" s="218"/>
      <c r="BE352" s="218"/>
      <c r="BF352" s="218"/>
      <c r="BG352" s="218"/>
      <c r="BH352" s="218"/>
      <c r="BI352" s="218"/>
      <c r="BJ352" s="218"/>
      <c r="BK352" s="218"/>
      <c r="BL352" s="218"/>
      <c r="BM352" s="218"/>
      <c r="BN352" s="218"/>
      <c r="BO352" s="218"/>
      <c r="BP352" s="218"/>
      <c r="BQ352" s="218"/>
      <c r="BR352" s="218"/>
      <c r="BS352" s="218"/>
      <c r="BT352" s="218"/>
    </row>
    <row r="353" ht="12.0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  <c r="BB353" s="218"/>
      <c r="BC353" s="218"/>
      <c r="BD353" s="218"/>
      <c r="BE353" s="218"/>
      <c r="BF353" s="218"/>
      <c r="BG353" s="218"/>
      <c r="BH353" s="218"/>
      <c r="BI353" s="218"/>
      <c r="BJ353" s="218"/>
      <c r="BK353" s="218"/>
      <c r="BL353" s="218"/>
      <c r="BM353" s="218"/>
      <c r="BN353" s="218"/>
      <c r="BO353" s="218"/>
      <c r="BP353" s="218"/>
      <c r="BQ353" s="218"/>
      <c r="BR353" s="218"/>
      <c r="BS353" s="218"/>
      <c r="BT353" s="218"/>
    </row>
    <row r="354" ht="12.0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  <c r="BB354" s="218"/>
      <c r="BC354" s="218"/>
      <c r="BD354" s="218"/>
      <c r="BE354" s="218"/>
      <c r="BF354" s="218"/>
      <c r="BG354" s="218"/>
      <c r="BH354" s="218"/>
      <c r="BI354" s="218"/>
      <c r="BJ354" s="218"/>
      <c r="BK354" s="218"/>
      <c r="BL354" s="218"/>
      <c r="BM354" s="218"/>
      <c r="BN354" s="218"/>
      <c r="BO354" s="218"/>
      <c r="BP354" s="218"/>
      <c r="BQ354" s="218"/>
      <c r="BR354" s="218"/>
      <c r="BS354" s="218"/>
      <c r="BT354" s="218"/>
    </row>
    <row r="355" ht="12.0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  <c r="BB355" s="218"/>
      <c r="BC355" s="218"/>
      <c r="BD355" s="218"/>
      <c r="BE355" s="218"/>
      <c r="BF355" s="218"/>
      <c r="BG355" s="218"/>
      <c r="BH355" s="218"/>
      <c r="BI355" s="218"/>
      <c r="BJ355" s="218"/>
      <c r="BK355" s="218"/>
      <c r="BL355" s="218"/>
      <c r="BM355" s="218"/>
      <c r="BN355" s="218"/>
      <c r="BO355" s="218"/>
      <c r="BP355" s="218"/>
      <c r="BQ355" s="218"/>
      <c r="BR355" s="218"/>
      <c r="BS355" s="218"/>
      <c r="BT355" s="218"/>
    </row>
    <row r="356" ht="12.0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  <c r="BB356" s="218"/>
      <c r="BC356" s="218"/>
      <c r="BD356" s="218"/>
      <c r="BE356" s="218"/>
      <c r="BF356" s="218"/>
      <c r="BG356" s="218"/>
      <c r="BH356" s="218"/>
      <c r="BI356" s="218"/>
      <c r="BJ356" s="218"/>
      <c r="BK356" s="218"/>
      <c r="BL356" s="218"/>
      <c r="BM356" s="218"/>
      <c r="BN356" s="218"/>
      <c r="BO356" s="218"/>
      <c r="BP356" s="218"/>
      <c r="BQ356" s="218"/>
      <c r="BR356" s="218"/>
      <c r="BS356" s="218"/>
      <c r="BT356" s="218"/>
    </row>
    <row r="357" ht="12.0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  <c r="BB357" s="218"/>
      <c r="BC357" s="218"/>
      <c r="BD357" s="218"/>
      <c r="BE357" s="218"/>
      <c r="BF357" s="218"/>
      <c r="BG357" s="218"/>
      <c r="BH357" s="218"/>
      <c r="BI357" s="218"/>
      <c r="BJ357" s="218"/>
      <c r="BK357" s="218"/>
      <c r="BL357" s="218"/>
      <c r="BM357" s="218"/>
      <c r="BN357" s="218"/>
      <c r="BO357" s="218"/>
      <c r="BP357" s="218"/>
      <c r="BQ357" s="218"/>
      <c r="BR357" s="218"/>
      <c r="BS357" s="218"/>
      <c r="BT357" s="218"/>
    </row>
    <row r="358" ht="12.0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  <c r="BB358" s="218"/>
      <c r="BC358" s="218"/>
      <c r="BD358" s="218"/>
      <c r="BE358" s="218"/>
      <c r="BF358" s="218"/>
      <c r="BG358" s="218"/>
      <c r="BH358" s="218"/>
      <c r="BI358" s="218"/>
      <c r="BJ358" s="218"/>
      <c r="BK358" s="218"/>
      <c r="BL358" s="218"/>
      <c r="BM358" s="218"/>
      <c r="BN358" s="218"/>
      <c r="BO358" s="218"/>
      <c r="BP358" s="218"/>
      <c r="BQ358" s="218"/>
      <c r="BR358" s="218"/>
      <c r="BS358" s="218"/>
      <c r="BT358" s="218"/>
    </row>
    <row r="359" ht="12.0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  <c r="BB359" s="218"/>
      <c r="BC359" s="218"/>
      <c r="BD359" s="218"/>
      <c r="BE359" s="218"/>
      <c r="BF359" s="218"/>
      <c r="BG359" s="218"/>
      <c r="BH359" s="218"/>
      <c r="BI359" s="218"/>
      <c r="BJ359" s="218"/>
      <c r="BK359" s="218"/>
      <c r="BL359" s="218"/>
      <c r="BM359" s="218"/>
      <c r="BN359" s="218"/>
      <c r="BO359" s="218"/>
      <c r="BP359" s="218"/>
      <c r="BQ359" s="218"/>
      <c r="BR359" s="218"/>
      <c r="BS359" s="218"/>
      <c r="BT359" s="218"/>
    </row>
    <row r="360" ht="12.0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  <c r="BB360" s="218"/>
      <c r="BC360" s="218"/>
      <c r="BD360" s="218"/>
      <c r="BE360" s="218"/>
      <c r="BF360" s="218"/>
      <c r="BG360" s="218"/>
      <c r="BH360" s="218"/>
      <c r="BI360" s="218"/>
      <c r="BJ360" s="218"/>
      <c r="BK360" s="218"/>
      <c r="BL360" s="218"/>
      <c r="BM360" s="218"/>
      <c r="BN360" s="218"/>
      <c r="BO360" s="218"/>
      <c r="BP360" s="218"/>
      <c r="BQ360" s="218"/>
      <c r="BR360" s="218"/>
      <c r="BS360" s="218"/>
      <c r="BT360" s="218"/>
    </row>
    <row r="361" ht="12.0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  <c r="BB361" s="218"/>
      <c r="BC361" s="218"/>
      <c r="BD361" s="218"/>
      <c r="BE361" s="218"/>
      <c r="BF361" s="218"/>
      <c r="BG361" s="218"/>
      <c r="BH361" s="218"/>
      <c r="BI361" s="218"/>
      <c r="BJ361" s="218"/>
      <c r="BK361" s="218"/>
      <c r="BL361" s="218"/>
      <c r="BM361" s="218"/>
      <c r="BN361" s="218"/>
      <c r="BO361" s="218"/>
      <c r="BP361" s="218"/>
      <c r="BQ361" s="218"/>
      <c r="BR361" s="218"/>
      <c r="BS361" s="218"/>
      <c r="BT361" s="218"/>
    </row>
    <row r="362" ht="12.0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  <c r="BB362" s="218"/>
      <c r="BC362" s="218"/>
      <c r="BD362" s="218"/>
      <c r="BE362" s="218"/>
      <c r="BF362" s="218"/>
      <c r="BG362" s="218"/>
      <c r="BH362" s="218"/>
      <c r="BI362" s="218"/>
      <c r="BJ362" s="218"/>
      <c r="BK362" s="218"/>
      <c r="BL362" s="218"/>
      <c r="BM362" s="218"/>
      <c r="BN362" s="218"/>
      <c r="BO362" s="218"/>
      <c r="BP362" s="218"/>
      <c r="BQ362" s="218"/>
      <c r="BR362" s="218"/>
      <c r="BS362" s="218"/>
      <c r="BT362" s="218"/>
    </row>
    <row r="363" ht="12.0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  <c r="BB363" s="218"/>
      <c r="BC363" s="218"/>
      <c r="BD363" s="218"/>
      <c r="BE363" s="218"/>
      <c r="BF363" s="218"/>
      <c r="BG363" s="218"/>
      <c r="BH363" s="218"/>
      <c r="BI363" s="218"/>
      <c r="BJ363" s="218"/>
      <c r="BK363" s="218"/>
      <c r="BL363" s="218"/>
      <c r="BM363" s="218"/>
      <c r="BN363" s="218"/>
      <c r="BO363" s="218"/>
      <c r="BP363" s="218"/>
      <c r="BQ363" s="218"/>
      <c r="BR363" s="218"/>
      <c r="BS363" s="218"/>
      <c r="BT363" s="218"/>
    </row>
    <row r="364" ht="12.0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  <c r="BB364" s="218"/>
      <c r="BC364" s="218"/>
      <c r="BD364" s="218"/>
      <c r="BE364" s="218"/>
      <c r="BF364" s="218"/>
      <c r="BG364" s="218"/>
      <c r="BH364" s="218"/>
      <c r="BI364" s="218"/>
      <c r="BJ364" s="218"/>
      <c r="BK364" s="218"/>
      <c r="BL364" s="218"/>
      <c r="BM364" s="218"/>
      <c r="BN364" s="218"/>
      <c r="BO364" s="218"/>
      <c r="BP364" s="218"/>
      <c r="BQ364" s="218"/>
      <c r="BR364" s="218"/>
      <c r="BS364" s="218"/>
      <c r="BT364" s="218"/>
    </row>
    <row r="365" ht="12.0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  <c r="BB365" s="218"/>
      <c r="BC365" s="218"/>
      <c r="BD365" s="218"/>
      <c r="BE365" s="218"/>
      <c r="BF365" s="218"/>
      <c r="BG365" s="218"/>
      <c r="BH365" s="218"/>
      <c r="BI365" s="218"/>
      <c r="BJ365" s="218"/>
      <c r="BK365" s="218"/>
      <c r="BL365" s="218"/>
      <c r="BM365" s="218"/>
      <c r="BN365" s="218"/>
      <c r="BO365" s="218"/>
      <c r="BP365" s="218"/>
      <c r="BQ365" s="218"/>
      <c r="BR365" s="218"/>
      <c r="BS365" s="218"/>
      <c r="BT365" s="218"/>
    </row>
    <row r="366" ht="12.0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  <c r="BB366" s="218"/>
      <c r="BC366" s="218"/>
      <c r="BD366" s="218"/>
      <c r="BE366" s="218"/>
      <c r="BF366" s="218"/>
      <c r="BG366" s="218"/>
      <c r="BH366" s="218"/>
      <c r="BI366" s="218"/>
      <c r="BJ366" s="218"/>
      <c r="BK366" s="218"/>
      <c r="BL366" s="218"/>
      <c r="BM366" s="218"/>
      <c r="BN366" s="218"/>
      <c r="BO366" s="218"/>
      <c r="BP366" s="218"/>
      <c r="BQ366" s="218"/>
      <c r="BR366" s="218"/>
      <c r="BS366" s="218"/>
      <c r="BT366" s="218"/>
    </row>
    <row r="367" ht="12.0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  <c r="BB367" s="218"/>
      <c r="BC367" s="218"/>
      <c r="BD367" s="218"/>
      <c r="BE367" s="218"/>
      <c r="BF367" s="218"/>
      <c r="BG367" s="218"/>
      <c r="BH367" s="218"/>
      <c r="BI367" s="218"/>
      <c r="BJ367" s="218"/>
      <c r="BK367" s="218"/>
      <c r="BL367" s="218"/>
      <c r="BM367" s="218"/>
      <c r="BN367" s="218"/>
      <c r="BO367" s="218"/>
      <c r="BP367" s="218"/>
      <c r="BQ367" s="218"/>
      <c r="BR367" s="218"/>
      <c r="BS367" s="218"/>
      <c r="BT367" s="218"/>
    </row>
    <row r="368" ht="12.0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  <c r="BB368" s="218"/>
      <c r="BC368" s="218"/>
      <c r="BD368" s="218"/>
      <c r="BE368" s="218"/>
      <c r="BF368" s="218"/>
      <c r="BG368" s="218"/>
      <c r="BH368" s="218"/>
      <c r="BI368" s="218"/>
      <c r="BJ368" s="218"/>
      <c r="BK368" s="218"/>
      <c r="BL368" s="218"/>
      <c r="BM368" s="218"/>
      <c r="BN368" s="218"/>
      <c r="BO368" s="218"/>
      <c r="BP368" s="218"/>
      <c r="BQ368" s="218"/>
      <c r="BR368" s="218"/>
      <c r="BS368" s="218"/>
      <c r="BT368" s="218"/>
    </row>
    <row r="369" ht="12.0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  <c r="BB369" s="218"/>
      <c r="BC369" s="218"/>
      <c r="BD369" s="218"/>
      <c r="BE369" s="218"/>
      <c r="BF369" s="218"/>
      <c r="BG369" s="218"/>
      <c r="BH369" s="218"/>
      <c r="BI369" s="218"/>
      <c r="BJ369" s="218"/>
      <c r="BK369" s="218"/>
      <c r="BL369" s="218"/>
      <c r="BM369" s="218"/>
      <c r="BN369" s="218"/>
      <c r="BO369" s="218"/>
      <c r="BP369" s="218"/>
      <c r="BQ369" s="218"/>
      <c r="BR369" s="218"/>
      <c r="BS369" s="218"/>
      <c r="BT369" s="218"/>
    </row>
    <row r="370" ht="12.0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  <c r="BB370" s="218"/>
      <c r="BC370" s="218"/>
      <c r="BD370" s="218"/>
      <c r="BE370" s="218"/>
      <c r="BF370" s="218"/>
      <c r="BG370" s="218"/>
      <c r="BH370" s="218"/>
      <c r="BI370" s="218"/>
      <c r="BJ370" s="218"/>
      <c r="BK370" s="218"/>
      <c r="BL370" s="218"/>
      <c r="BM370" s="218"/>
      <c r="BN370" s="218"/>
      <c r="BO370" s="218"/>
      <c r="BP370" s="218"/>
      <c r="BQ370" s="218"/>
      <c r="BR370" s="218"/>
      <c r="BS370" s="218"/>
      <c r="BT370" s="218"/>
    </row>
    <row r="371" ht="12.0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  <c r="BB371" s="218"/>
      <c r="BC371" s="218"/>
      <c r="BD371" s="218"/>
      <c r="BE371" s="218"/>
      <c r="BF371" s="218"/>
      <c r="BG371" s="218"/>
      <c r="BH371" s="218"/>
      <c r="BI371" s="218"/>
      <c r="BJ371" s="218"/>
      <c r="BK371" s="218"/>
      <c r="BL371" s="218"/>
      <c r="BM371" s="218"/>
      <c r="BN371" s="218"/>
      <c r="BO371" s="218"/>
      <c r="BP371" s="218"/>
      <c r="BQ371" s="218"/>
      <c r="BR371" s="218"/>
      <c r="BS371" s="218"/>
      <c r="BT371" s="218"/>
    </row>
    <row r="372" ht="12.0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  <c r="BB372" s="218"/>
      <c r="BC372" s="218"/>
      <c r="BD372" s="218"/>
      <c r="BE372" s="218"/>
      <c r="BF372" s="218"/>
      <c r="BG372" s="218"/>
      <c r="BH372" s="218"/>
      <c r="BI372" s="218"/>
      <c r="BJ372" s="218"/>
      <c r="BK372" s="218"/>
      <c r="BL372" s="218"/>
      <c r="BM372" s="218"/>
      <c r="BN372" s="218"/>
      <c r="BO372" s="218"/>
      <c r="BP372" s="218"/>
      <c r="BQ372" s="218"/>
      <c r="BR372" s="218"/>
      <c r="BS372" s="218"/>
      <c r="BT372" s="218"/>
    </row>
    <row r="373" ht="12.0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  <c r="BB373" s="218"/>
      <c r="BC373" s="218"/>
      <c r="BD373" s="218"/>
      <c r="BE373" s="218"/>
      <c r="BF373" s="218"/>
      <c r="BG373" s="218"/>
      <c r="BH373" s="218"/>
      <c r="BI373" s="218"/>
      <c r="BJ373" s="218"/>
      <c r="BK373" s="218"/>
      <c r="BL373" s="218"/>
      <c r="BM373" s="218"/>
      <c r="BN373" s="218"/>
      <c r="BO373" s="218"/>
      <c r="BP373" s="218"/>
      <c r="BQ373" s="218"/>
      <c r="BR373" s="218"/>
      <c r="BS373" s="218"/>
      <c r="BT373" s="218"/>
    </row>
    <row r="374" ht="12.0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  <c r="BB374" s="218"/>
      <c r="BC374" s="218"/>
      <c r="BD374" s="218"/>
      <c r="BE374" s="218"/>
      <c r="BF374" s="218"/>
      <c r="BG374" s="218"/>
      <c r="BH374" s="218"/>
      <c r="BI374" s="218"/>
      <c r="BJ374" s="218"/>
      <c r="BK374" s="218"/>
      <c r="BL374" s="218"/>
      <c r="BM374" s="218"/>
      <c r="BN374" s="218"/>
      <c r="BO374" s="218"/>
      <c r="BP374" s="218"/>
      <c r="BQ374" s="218"/>
      <c r="BR374" s="218"/>
      <c r="BS374" s="218"/>
      <c r="BT374" s="218"/>
    </row>
    <row r="375" ht="12.0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  <c r="BB375" s="218"/>
      <c r="BC375" s="218"/>
      <c r="BD375" s="218"/>
      <c r="BE375" s="218"/>
      <c r="BF375" s="218"/>
      <c r="BG375" s="218"/>
      <c r="BH375" s="218"/>
      <c r="BI375" s="218"/>
      <c r="BJ375" s="218"/>
      <c r="BK375" s="218"/>
      <c r="BL375" s="218"/>
      <c r="BM375" s="218"/>
      <c r="BN375" s="218"/>
      <c r="BO375" s="218"/>
      <c r="BP375" s="218"/>
      <c r="BQ375" s="218"/>
      <c r="BR375" s="218"/>
      <c r="BS375" s="218"/>
      <c r="BT375" s="218"/>
    </row>
    <row r="376" ht="12.0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  <c r="BB376" s="218"/>
      <c r="BC376" s="218"/>
      <c r="BD376" s="218"/>
      <c r="BE376" s="218"/>
      <c r="BF376" s="218"/>
      <c r="BG376" s="218"/>
      <c r="BH376" s="218"/>
      <c r="BI376" s="218"/>
      <c r="BJ376" s="218"/>
      <c r="BK376" s="218"/>
      <c r="BL376" s="218"/>
      <c r="BM376" s="218"/>
      <c r="BN376" s="218"/>
      <c r="BO376" s="218"/>
      <c r="BP376" s="218"/>
      <c r="BQ376" s="218"/>
      <c r="BR376" s="218"/>
      <c r="BS376" s="218"/>
      <c r="BT376" s="218"/>
    </row>
    <row r="377" ht="12.0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  <c r="BB377" s="218"/>
      <c r="BC377" s="218"/>
      <c r="BD377" s="218"/>
      <c r="BE377" s="218"/>
      <c r="BF377" s="218"/>
      <c r="BG377" s="218"/>
      <c r="BH377" s="218"/>
      <c r="BI377" s="218"/>
      <c r="BJ377" s="218"/>
      <c r="BK377" s="218"/>
      <c r="BL377" s="218"/>
      <c r="BM377" s="218"/>
      <c r="BN377" s="218"/>
      <c r="BO377" s="218"/>
      <c r="BP377" s="218"/>
      <c r="BQ377" s="218"/>
      <c r="BR377" s="218"/>
      <c r="BS377" s="218"/>
      <c r="BT377" s="218"/>
    </row>
    <row r="378" ht="12.0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  <c r="BB378" s="218"/>
      <c r="BC378" s="218"/>
      <c r="BD378" s="218"/>
      <c r="BE378" s="218"/>
      <c r="BF378" s="218"/>
      <c r="BG378" s="218"/>
      <c r="BH378" s="218"/>
      <c r="BI378" s="218"/>
      <c r="BJ378" s="218"/>
      <c r="BK378" s="218"/>
      <c r="BL378" s="218"/>
      <c r="BM378" s="218"/>
      <c r="BN378" s="218"/>
      <c r="BO378" s="218"/>
      <c r="BP378" s="218"/>
      <c r="BQ378" s="218"/>
      <c r="BR378" s="218"/>
      <c r="BS378" s="218"/>
      <c r="BT378" s="218"/>
    </row>
    <row r="379" ht="12.0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  <c r="AE379" s="218"/>
      <c r="AF379" s="218"/>
      <c r="AG379" s="218"/>
      <c r="AH379" s="218"/>
      <c r="AI379" s="218"/>
      <c r="AJ379" s="218"/>
      <c r="AK379" s="218"/>
      <c r="AL379" s="218"/>
      <c r="AM379" s="218"/>
      <c r="AN379" s="218"/>
      <c r="AO379" s="218"/>
      <c r="AP379" s="218"/>
      <c r="AQ379" s="218"/>
      <c r="AR379" s="218"/>
      <c r="AS379" s="218"/>
      <c r="AT379" s="218"/>
      <c r="AU379" s="218"/>
      <c r="AV379" s="218"/>
      <c r="AW379" s="218"/>
      <c r="AX379" s="218"/>
      <c r="AY379" s="218"/>
      <c r="AZ379" s="218"/>
      <c r="BA379" s="218"/>
      <c r="BB379" s="218"/>
      <c r="BC379" s="218"/>
      <c r="BD379" s="218"/>
      <c r="BE379" s="218"/>
      <c r="BF379" s="218"/>
      <c r="BG379" s="218"/>
      <c r="BH379" s="218"/>
      <c r="BI379" s="218"/>
      <c r="BJ379" s="218"/>
      <c r="BK379" s="218"/>
      <c r="BL379" s="218"/>
      <c r="BM379" s="218"/>
      <c r="BN379" s="218"/>
      <c r="BO379" s="218"/>
      <c r="BP379" s="218"/>
      <c r="BQ379" s="218"/>
      <c r="BR379" s="218"/>
      <c r="BS379" s="218"/>
      <c r="BT379" s="218"/>
    </row>
    <row r="380" ht="12.0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  <c r="AE380" s="218"/>
      <c r="AF380" s="218"/>
      <c r="AG380" s="218"/>
      <c r="AH380" s="218"/>
      <c r="AI380" s="218"/>
      <c r="AJ380" s="218"/>
      <c r="AK380" s="218"/>
      <c r="AL380" s="218"/>
      <c r="AM380" s="218"/>
      <c r="AN380" s="218"/>
      <c r="AO380" s="218"/>
      <c r="AP380" s="218"/>
      <c r="AQ380" s="218"/>
      <c r="AR380" s="218"/>
      <c r="AS380" s="218"/>
      <c r="AT380" s="218"/>
      <c r="AU380" s="218"/>
      <c r="AV380" s="218"/>
      <c r="AW380" s="218"/>
      <c r="AX380" s="218"/>
      <c r="AY380" s="218"/>
      <c r="AZ380" s="218"/>
      <c r="BA380" s="218"/>
      <c r="BB380" s="218"/>
      <c r="BC380" s="218"/>
      <c r="BD380" s="218"/>
      <c r="BE380" s="218"/>
      <c r="BF380" s="218"/>
      <c r="BG380" s="218"/>
      <c r="BH380" s="218"/>
      <c r="BI380" s="218"/>
      <c r="BJ380" s="218"/>
      <c r="BK380" s="218"/>
      <c r="BL380" s="218"/>
      <c r="BM380" s="218"/>
      <c r="BN380" s="218"/>
      <c r="BO380" s="218"/>
      <c r="BP380" s="218"/>
      <c r="BQ380" s="218"/>
      <c r="BR380" s="218"/>
      <c r="BS380" s="218"/>
      <c r="BT380" s="218"/>
    </row>
    <row r="381" ht="12.0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  <c r="AE381" s="218"/>
      <c r="AF381" s="218"/>
      <c r="AG381" s="218"/>
      <c r="AH381" s="218"/>
      <c r="AI381" s="218"/>
      <c r="AJ381" s="218"/>
      <c r="AK381" s="218"/>
      <c r="AL381" s="218"/>
      <c r="AM381" s="218"/>
      <c r="AN381" s="218"/>
      <c r="AO381" s="218"/>
      <c r="AP381" s="218"/>
      <c r="AQ381" s="218"/>
      <c r="AR381" s="218"/>
      <c r="AS381" s="218"/>
      <c r="AT381" s="218"/>
      <c r="AU381" s="218"/>
      <c r="AV381" s="218"/>
      <c r="AW381" s="218"/>
      <c r="AX381" s="218"/>
      <c r="AY381" s="218"/>
      <c r="AZ381" s="218"/>
      <c r="BA381" s="218"/>
      <c r="BB381" s="218"/>
      <c r="BC381" s="218"/>
      <c r="BD381" s="218"/>
      <c r="BE381" s="218"/>
      <c r="BF381" s="218"/>
      <c r="BG381" s="218"/>
      <c r="BH381" s="218"/>
      <c r="BI381" s="218"/>
      <c r="BJ381" s="218"/>
      <c r="BK381" s="218"/>
      <c r="BL381" s="218"/>
      <c r="BM381" s="218"/>
      <c r="BN381" s="218"/>
      <c r="BO381" s="218"/>
      <c r="BP381" s="218"/>
      <c r="BQ381" s="218"/>
      <c r="BR381" s="218"/>
      <c r="BS381" s="218"/>
      <c r="BT381" s="218"/>
    </row>
    <row r="382" ht="12.0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  <c r="AE382" s="218"/>
      <c r="AF382" s="218"/>
      <c r="AG382" s="218"/>
      <c r="AH382" s="218"/>
      <c r="AI382" s="218"/>
      <c r="AJ382" s="218"/>
      <c r="AK382" s="218"/>
      <c r="AL382" s="218"/>
      <c r="AM382" s="218"/>
      <c r="AN382" s="218"/>
      <c r="AO382" s="218"/>
      <c r="AP382" s="218"/>
      <c r="AQ382" s="218"/>
      <c r="AR382" s="218"/>
      <c r="AS382" s="218"/>
      <c r="AT382" s="218"/>
      <c r="AU382" s="218"/>
      <c r="AV382" s="218"/>
      <c r="AW382" s="218"/>
      <c r="AX382" s="218"/>
      <c r="AY382" s="218"/>
      <c r="AZ382" s="218"/>
      <c r="BA382" s="218"/>
      <c r="BB382" s="218"/>
      <c r="BC382" s="218"/>
      <c r="BD382" s="218"/>
      <c r="BE382" s="218"/>
      <c r="BF382" s="218"/>
      <c r="BG382" s="218"/>
      <c r="BH382" s="218"/>
      <c r="BI382" s="218"/>
      <c r="BJ382" s="218"/>
      <c r="BK382" s="218"/>
      <c r="BL382" s="218"/>
      <c r="BM382" s="218"/>
      <c r="BN382" s="218"/>
      <c r="BO382" s="218"/>
      <c r="BP382" s="218"/>
      <c r="BQ382" s="218"/>
      <c r="BR382" s="218"/>
      <c r="BS382" s="218"/>
      <c r="BT382" s="218"/>
    </row>
    <row r="383" ht="12.0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  <c r="AE383" s="218"/>
      <c r="AF383" s="218"/>
      <c r="AG383" s="218"/>
      <c r="AH383" s="218"/>
      <c r="AI383" s="218"/>
      <c r="AJ383" s="218"/>
      <c r="AK383" s="218"/>
      <c r="AL383" s="218"/>
      <c r="AM383" s="218"/>
      <c r="AN383" s="218"/>
      <c r="AO383" s="218"/>
      <c r="AP383" s="218"/>
      <c r="AQ383" s="218"/>
      <c r="AR383" s="218"/>
      <c r="AS383" s="218"/>
      <c r="AT383" s="218"/>
      <c r="AU383" s="218"/>
      <c r="AV383" s="218"/>
      <c r="AW383" s="218"/>
      <c r="AX383" s="218"/>
      <c r="AY383" s="218"/>
      <c r="AZ383" s="218"/>
      <c r="BA383" s="218"/>
      <c r="BB383" s="218"/>
      <c r="BC383" s="218"/>
      <c r="BD383" s="218"/>
      <c r="BE383" s="218"/>
      <c r="BF383" s="218"/>
      <c r="BG383" s="218"/>
      <c r="BH383" s="218"/>
      <c r="BI383" s="218"/>
      <c r="BJ383" s="218"/>
      <c r="BK383" s="218"/>
      <c r="BL383" s="218"/>
      <c r="BM383" s="218"/>
      <c r="BN383" s="218"/>
      <c r="BO383" s="218"/>
      <c r="BP383" s="218"/>
      <c r="BQ383" s="218"/>
      <c r="BR383" s="218"/>
      <c r="BS383" s="218"/>
      <c r="BT383" s="218"/>
    </row>
    <row r="384" ht="12.0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  <c r="AE384" s="218"/>
      <c r="AF384" s="218"/>
      <c r="AG384" s="218"/>
      <c r="AH384" s="218"/>
      <c r="AI384" s="218"/>
      <c r="AJ384" s="218"/>
      <c r="AK384" s="218"/>
      <c r="AL384" s="218"/>
      <c r="AM384" s="218"/>
      <c r="AN384" s="218"/>
      <c r="AO384" s="218"/>
      <c r="AP384" s="218"/>
      <c r="AQ384" s="218"/>
      <c r="AR384" s="218"/>
      <c r="AS384" s="218"/>
      <c r="AT384" s="218"/>
      <c r="AU384" s="218"/>
      <c r="AV384" s="218"/>
      <c r="AW384" s="218"/>
      <c r="AX384" s="218"/>
      <c r="AY384" s="218"/>
      <c r="AZ384" s="218"/>
      <c r="BA384" s="218"/>
      <c r="BB384" s="218"/>
      <c r="BC384" s="218"/>
      <c r="BD384" s="218"/>
      <c r="BE384" s="218"/>
      <c r="BF384" s="218"/>
      <c r="BG384" s="218"/>
      <c r="BH384" s="218"/>
      <c r="BI384" s="218"/>
      <c r="BJ384" s="218"/>
      <c r="BK384" s="218"/>
      <c r="BL384" s="218"/>
      <c r="BM384" s="218"/>
      <c r="BN384" s="218"/>
      <c r="BO384" s="218"/>
      <c r="BP384" s="218"/>
      <c r="BQ384" s="218"/>
      <c r="BR384" s="218"/>
      <c r="BS384" s="218"/>
      <c r="BT384" s="218"/>
    </row>
    <row r="385" ht="12.0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  <c r="AE385" s="218"/>
      <c r="AF385" s="218"/>
      <c r="AG385" s="218"/>
      <c r="AH385" s="218"/>
      <c r="AI385" s="218"/>
      <c r="AJ385" s="218"/>
      <c r="AK385" s="218"/>
      <c r="AL385" s="218"/>
      <c r="AM385" s="218"/>
      <c r="AN385" s="218"/>
      <c r="AO385" s="218"/>
      <c r="AP385" s="218"/>
      <c r="AQ385" s="218"/>
      <c r="AR385" s="218"/>
      <c r="AS385" s="218"/>
      <c r="AT385" s="218"/>
      <c r="AU385" s="218"/>
      <c r="AV385" s="218"/>
      <c r="AW385" s="218"/>
      <c r="AX385" s="218"/>
      <c r="AY385" s="218"/>
      <c r="AZ385" s="218"/>
      <c r="BA385" s="218"/>
      <c r="BB385" s="218"/>
      <c r="BC385" s="218"/>
      <c r="BD385" s="218"/>
      <c r="BE385" s="218"/>
      <c r="BF385" s="218"/>
      <c r="BG385" s="218"/>
      <c r="BH385" s="218"/>
      <c r="BI385" s="218"/>
      <c r="BJ385" s="218"/>
      <c r="BK385" s="218"/>
      <c r="BL385" s="218"/>
      <c r="BM385" s="218"/>
      <c r="BN385" s="218"/>
      <c r="BO385" s="218"/>
      <c r="BP385" s="218"/>
      <c r="BQ385" s="218"/>
      <c r="BR385" s="218"/>
      <c r="BS385" s="218"/>
      <c r="BT385" s="218"/>
    </row>
    <row r="386" ht="12.0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  <c r="AE386" s="218"/>
      <c r="AF386" s="218"/>
      <c r="AG386" s="218"/>
      <c r="AH386" s="218"/>
      <c r="AI386" s="218"/>
      <c r="AJ386" s="218"/>
      <c r="AK386" s="218"/>
      <c r="AL386" s="218"/>
      <c r="AM386" s="218"/>
      <c r="AN386" s="218"/>
      <c r="AO386" s="218"/>
      <c r="AP386" s="218"/>
      <c r="AQ386" s="218"/>
      <c r="AR386" s="218"/>
      <c r="AS386" s="218"/>
      <c r="AT386" s="218"/>
      <c r="AU386" s="218"/>
      <c r="AV386" s="218"/>
      <c r="AW386" s="218"/>
      <c r="AX386" s="218"/>
      <c r="AY386" s="218"/>
      <c r="AZ386" s="218"/>
      <c r="BA386" s="218"/>
      <c r="BB386" s="218"/>
      <c r="BC386" s="218"/>
      <c r="BD386" s="218"/>
      <c r="BE386" s="218"/>
      <c r="BF386" s="218"/>
      <c r="BG386" s="218"/>
      <c r="BH386" s="218"/>
      <c r="BI386" s="218"/>
      <c r="BJ386" s="218"/>
      <c r="BK386" s="218"/>
      <c r="BL386" s="218"/>
      <c r="BM386" s="218"/>
      <c r="BN386" s="218"/>
      <c r="BO386" s="218"/>
      <c r="BP386" s="218"/>
      <c r="BQ386" s="218"/>
      <c r="BR386" s="218"/>
      <c r="BS386" s="218"/>
      <c r="BT386" s="218"/>
    </row>
    <row r="387" ht="12.0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  <c r="AE387" s="218"/>
      <c r="AF387" s="218"/>
      <c r="AG387" s="218"/>
      <c r="AH387" s="218"/>
      <c r="AI387" s="218"/>
      <c r="AJ387" s="218"/>
      <c r="AK387" s="218"/>
      <c r="AL387" s="218"/>
      <c r="AM387" s="218"/>
      <c r="AN387" s="218"/>
      <c r="AO387" s="218"/>
      <c r="AP387" s="218"/>
      <c r="AQ387" s="218"/>
      <c r="AR387" s="218"/>
      <c r="AS387" s="218"/>
      <c r="AT387" s="218"/>
      <c r="AU387" s="218"/>
      <c r="AV387" s="218"/>
      <c r="AW387" s="218"/>
      <c r="AX387" s="218"/>
      <c r="AY387" s="218"/>
      <c r="AZ387" s="218"/>
      <c r="BA387" s="218"/>
      <c r="BB387" s="218"/>
      <c r="BC387" s="218"/>
      <c r="BD387" s="218"/>
      <c r="BE387" s="218"/>
      <c r="BF387" s="218"/>
      <c r="BG387" s="218"/>
      <c r="BH387" s="218"/>
      <c r="BI387" s="218"/>
      <c r="BJ387" s="218"/>
      <c r="BK387" s="218"/>
      <c r="BL387" s="218"/>
      <c r="BM387" s="218"/>
      <c r="BN387" s="218"/>
      <c r="BO387" s="218"/>
      <c r="BP387" s="218"/>
      <c r="BQ387" s="218"/>
      <c r="BR387" s="218"/>
      <c r="BS387" s="218"/>
      <c r="BT387" s="218"/>
    </row>
    <row r="388" ht="12.0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  <c r="AE388" s="218"/>
      <c r="AF388" s="218"/>
      <c r="AG388" s="218"/>
      <c r="AH388" s="218"/>
      <c r="AI388" s="218"/>
      <c r="AJ388" s="218"/>
      <c r="AK388" s="218"/>
      <c r="AL388" s="218"/>
      <c r="AM388" s="218"/>
      <c r="AN388" s="218"/>
      <c r="AO388" s="218"/>
      <c r="AP388" s="218"/>
      <c r="AQ388" s="218"/>
      <c r="AR388" s="218"/>
      <c r="AS388" s="218"/>
      <c r="AT388" s="218"/>
      <c r="AU388" s="218"/>
      <c r="AV388" s="218"/>
      <c r="AW388" s="218"/>
      <c r="AX388" s="218"/>
      <c r="AY388" s="218"/>
      <c r="AZ388" s="218"/>
      <c r="BA388" s="218"/>
      <c r="BB388" s="218"/>
      <c r="BC388" s="218"/>
      <c r="BD388" s="218"/>
      <c r="BE388" s="218"/>
      <c r="BF388" s="218"/>
      <c r="BG388" s="218"/>
      <c r="BH388" s="218"/>
      <c r="BI388" s="218"/>
      <c r="BJ388" s="218"/>
      <c r="BK388" s="218"/>
      <c r="BL388" s="218"/>
      <c r="BM388" s="218"/>
      <c r="BN388" s="218"/>
      <c r="BO388" s="218"/>
      <c r="BP388" s="218"/>
      <c r="BQ388" s="218"/>
      <c r="BR388" s="218"/>
      <c r="BS388" s="218"/>
      <c r="BT388" s="218"/>
    </row>
    <row r="389" ht="12.0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  <c r="AE389" s="218"/>
      <c r="AF389" s="218"/>
      <c r="AG389" s="218"/>
      <c r="AH389" s="218"/>
      <c r="AI389" s="218"/>
      <c r="AJ389" s="218"/>
      <c r="AK389" s="218"/>
      <c r="AL389" s="218"/>
      <c r="AM389" s="218"/>
      <c r="AN389" s="218"/>
      <c r="AO389" s="218"/>
      <c r="AP389" s="218"/>
      <c r="AQ389" s="218"/>
      <c r="AR389" s="218"/>
      <c r="AS389" s="218"/>
      <c r="AT389" s="218"/>
      <c r="AU389" s="218"/>
      <c r="AV389" s="218"/>
      <c r="AW389" s="218"/>
      <c r="AX389" s="218"/>
      <c r="AY389" s="218"/>
      <c r="AZ389" s="218"/>
      <c r="BA389" s="218"/>
      <c r="BB389" s="218"/>
      <c r="BC389" s="218"/>
      <c r="BD389" s="218"/>
      <c r="BE389" s="218"/>
      <c r="BF389" s="218"/>
      <c r="BG389" s="218"/>
      <c r="BH389" s="218"/>
      <c r="BI389" s="218"/>
      <c r="BJ389" s="218"/>
      <c r="BK389" s="218"/>
      <c r="BL389" s="218"/>
      <c r="BM389" s="218"/>
      <c r="BN389" s="218"/>
      <c r="BO389" s="218"/>
      <c r="BP389" s="218"/>
      <c r="BQ389" s="218"/>
      <c r="BR389" s="218"/>
      <c r="BS389" s="218"/>
      <c r="BT389" s="218"/>
    </row>
    <row r="390" ht="12.0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  <c r="AE390" s="218"/>
      <c r="AF390" s="218"/>
      <c r="AG390" s="218"/>
      <c r="AH390" s="218"/>
      <c r="AI390" s="218"/>
      <c r="AJ390" s="218"/>
      <c r="AK390" s="218"/>
      <c r="AL390" s="218"/>
      <c r="AM390" s="218"/>
      <c r="AN390" s="218"/>
      <c r="AO390" s="218"/>
      <c r="AP390" s="218"/>
      <c r="AQ390" s="218"/>
      <c r="AR390" s="218"/>
      <c r="AS390" s="218"/>
      <c r="AT390" s="218"/>
      <c r="AU390" s="218"/>
      <c r="AV390" s="218"/>
      <c r="AW390" s="218"/>
      <c r="AX390" s="218"/>
      <c r="AY390" s="218"/>
      <c r="AZ390" s="218"/>
      <c r="BA390" s="218"/>
      <c r="BB390" s="218"/>
      <c r="BC390" s="218"/>
      <c r="BD390" s="218"/>
      <c r="BE390" s="218"/>
      <c r="BF390" s="218"/>
      <c r="BG390" s="218"/>
      <c r="BH390" s="218"/>
      <c r="BI390" s="218"/>
      <c r="BJ390" s="218"/>
      <c r="BK390" s="218"/>
      <c r="BL390" s="218"/>
      <c r="BM390" s="218"/>
      <c r="BN390" s="218"/>
      <c r="BO390" s="218"/>
      <c r="BP390" s="218"/>
      <c r="BQ390" s="218"/>
      <c r="BR390" s="218"/>
      <c r="BS390" s="218"/>
      <c r="BT390" s="218"/>
    </row>
    <row r="391" ht="12.0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  <c r="AE391" s="218"/>
      <c r="AF391" s="218"/>
      <c r="AG391" s="218"/>
      <c r="AH391" s="218"/>
      <c r="AI391" s="218"/>
      <c r="AJ391" s="218"/>
      <c r="AK391" s="218"/>
      <c r="AL391" s="218"/>
      <c r="AM391" s="218"/>
      <c r="AN391" s="218"/>
      <c r="AO391" s="218"/>
      <c r="AP391" s="218"/>
      <c r="AQ391" s="218"/>
      <c r="AR391" s="218"/>
      <c r="AS391" s="218"/>
      <c r="AT391" s="218"/>
      <c r="AU391" s="218"/>
      <c r="AV391" s="218"/>
      <c r="AW391" s="218"/>
      <c r="AX391" s="218"/>
      <c r="AY391" s="218"/>
      <c r="AZ391" s="218"/>
      <c r="BA391" s="218"/>
      <c r="BB391" s="218"/>
      <c r="BC391" s="218"/>
      <c r="BD391" s="218"/>
      <c r="BE391" s="218"/>
      <c r="BF391" s="218"/>
      <c r="BG391" s="218"/>
      <c r="BH391" s="218"/>
      <c r="BI391" s="218"/>
      <c r="BJ391" s="218"/>
      <c r="BK391" s="218"/>
      <c r="BL391" s="218"/>
      <c r="BM391" s="218"/>
      <c r="BN391" s="218"/>
      <c r="BO391" s="218"/>
      <c r="BP391" s="218"/>
      <c r="BQ391" s="218"/>
      <c r="BR391" s="218"/>
      <c r="BS391" s="218"/>
      <c r="BT391" s="218"/>
    </row>
    <row r="392" ht="12.0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  <c r="AE392" s="218"/>
      <c r="AF392" s="218"/>
      <c r="AG392" s="218"/>
      <c r="AH392" s="218"/>
      <c r="AI392" s="218"/>
      <c r="AJ392" s="218"/>
      <c r="AK392" s="218"/>
      <c r="AL392" s="218"/>
      <c r="AM392" s="218"/>
      <c r="AN392" s="218"/>
      <c r="AO392" s="218"/>
      <c r="AP392" s="218"/>
      <c r="AQ392" s="218"/>
      <c r="AR392" s="218"/>
      <c r="AS392" s="218"/>
      <c r="AT392" s="218"/>
      <c r="AU392" s="218"/>
      <c r="AV392" s="218"/>
      <c r="AW392" s="218"/>
      <c r="AX392" s="218"/>
      <c r="AY392" s="218"/>
      <c r="AZ392" s="218"/>
      <c r="BA392" s="218"/>
      <c r="BB392" s="218"/>
      <c r="BC392" s="218"/>
      <c r="BD392" s="218"/>
      <c r="BE392" s="218"/>
      <c r="BF392" s="218"/>
      <c r="BG392" s="218"/>
      <c r="BH392" s="218"/>
      <c r="BI392" s="218"/>
      <c r="BJ392" s="218"/>
      <c r="BK392" s="218"/>
      <c r="BL392" s="218"/>
      <c r="BM392" s="218"/>
      <c r="BN392" s="218"/>
      <c r="BO392" s="218"/>
      <c r="BP392" s="218"/>
      <c r="BQ392" s="218"/>
      <c r="BR392" s="218"/>
      <c r="BS392" s="218"/>
      <c r="BT392" s="218"/>
    </row>
    <row r="393" ht="12.0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  <c r="AE393" s="218"/>
      <c r="AF393" s="218"/>
      <c r="AG393" s="218"/>
      <c r="AH393" s="218"/>
      <c r="AI393" s="218"/>
      <c r="AJ393" s="218"/>
      <c r="AK393" s="218"/>
      <c r="AL393" s="218"/>
      <c r="AM393" s="218"/>
      <c r="AN393" s="218"/>
      <c r="AO393" s="218"/>
      <c r="AP393" s="218"/>
      <c r="AQ393" s="218"/>
      <c r="AR393" s="218"/>
      <c r="AS393" s="218"/>
      <c r="AT393" s="218"/>
      <c r="AU393" s="218"/>
      <c r="AV393" s="218"/>
      <c r="AW393" s="218"/>
      <c r="AX393" s="218"/>
      <c r="AY393" s="218"/>
      <c r="AZ393" s="218"/>
      <c r="BA393" s="218"/>
      <c r="BB393" s="218"/>
      <c r="BC393" s="218"/>
      <c r="BD393" s="218"/>
      <c r="BE393" s="218"/>
      <c r="BF393" s="218"/>
      <c r="BG393" s="218"/>
      <c r="BH393" s="218"/>
      <c r="BI393" s="218"/>
      <c r="BJ393" s="218"/>
      <c r="BK393" s="218"/>
      <c r="BL393" s="218"/>
      <c r="BM393" s="218"/>
      <c r="BN393" s="218"/>
      <c r="BO393" s="218"/>
      <c r="BP393" s="218"/>
      <c r="BQ393" s="218"/>
      <c r="BR393" s="218"/>
      <c r="BS393" s="218"/>
      <c r="BT393" s="218"/>
    </row>
    <row r="394" ht="12.0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  <c r="AE394" s="218"/>
      <c r="AF394" s="218"/>
      <c r="AG394" s="218"/>
      <c r="AH394" s="218"/>
      <c r="AI394" s="218"/>
      <c r="AJ394" s="218"/>
      <c r="AK394" s="218"/>
      <c r="AL394" s="218"/>
      <c r="AM394" s="218"/>
      <c r="AN394" s="218"/>
      <c r="AO394" s="218"/>
      <c r="AP394" s="218"/>
      <c r="AQ394" s="218"/>
      <c r="AR394" s="218"/>
      <c r="AS394" s="218"/>
      <c r="AT394" s="218"/>
      <c r="AU394" s="218"/>
      <c r="AV394" s="218"/>
      <c r="AW394" s="218"/>
      <c r="AX394" s="218"/>
      <c r="AY394" s="218"/>
      <c r="AZ394" s="218"/>
      <c r="BA394" s="218"/>
      <c r="BB394" s="218"/>
      <c r="BC394" s="218"/>
      <c r="BD394" s="218"/>
      <c r="BE394" s="218"/>
      <c r="BF394" s="218"/>
      <c r="BG394" s="218"/>
      <c r="BH394" s="218"/>
      <c r="BI394" s="218"/>
      <c r="BJ394" s="218"/>
      <c r="BK394" s="218"/>
      <c r="BL394" s="218"/>
      <c r="BM394" s="218"/>
      <c r="BN394" s="218"/>
      <c r="BO394" s="218"/>
      <c r="BP394" s="218"/>
      <c r="BQ394" s="218"/>
      <c r="BR394" s="218"/>
      <c r="BS394" s="218"/>
      <c r="BT394" s="218"/>
    </row>
    <row r="395" ht="12.0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  <c r="AE395" s="218"/>
      <c r="AF395" s="218"/>
      <c r="AG395" s="218"/>
      <c r="AH395" s="218"/>
      <c r="AI395" s="218"/>
      <c r="AJ395" s="218"/>
      <c r="AK395" s="218"/>
      <c r="AL395" s="218"/>
      <c r="AM395" s="218"/>
      <c r="AN395" s="218"/>
      <c r="AO395" s="218"/>
      <c r="AP395" s="218"/>
      <c r="AQ395" s="218"/>
      <c r="AR395" s="218"/>
      <c r="AS395" s="218"/>
      <c r="AT395" s="218"/>
      <c r="AU395" s="218"/>
      <c r="AV395" s="218"/>
      <c r="AW395" s="218"/>
      <c r="AX395" s="218"/>
      <c r="AY395" s="218"/>
      <c r="AZ395" s="218"/>
      <c r="BA395" s="218"/>
      <c r="BB395" s="218"/>
      <c r="BC395" s="218"/>
      <c r="BD395" s="218"/>
      <c r="BE395" s="218"/>
      <c r="BF395" s="218"/>
      <c r="BG395" s="218"/>
      <c r="BH395" s="218"/>
      <c r="BI395" s="218"/>
      <c r="BJ395" s="218"/>
      <c r="BK395" s="218"/>
      <c r="BL395" s="218"/>
      <c r="BM395" s="218"/>
      <c r="BN395" s="218"/>
      <c r="BO395" s="218"/>
      <c r="BP395" s="218"/>
      <c r="BQ395" s="218"/>
      <c r="BR395" s="218"/>
      <c r="BS395" s="218"/>
      <c r="BT395" s="218"/>
    </row>
    <row r="396" ht="12.0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  <c r="AE396" s="218"/>
      <c r="AF396" s="218"/>
      <c r="AG396" s="218"/>
      <c r="AH396" s="218"/>
      <c r="AI396" s="218"/>
      <c r="AJ396" s="218"/>
      <c r="AK396" s="218"/>
      <c r="AL396" s="218"/>
      <c r="AM396" s="218"/>
      <c r="AN396" s="218"/>
      <c r="AO396" s="218"/>
      <c r="AP396" s="218"/>
      <c r="AQ396" s="218"/>
      <c r="AR396" s="218"/>
      <c r="AS396" s="218"/>
      <c r="AT396" s="218"/>
      <c r="AU396" s="218"/>
      <c r="AV396" s="218"/>
      <c r="AW396" s="218"/>
      <c r="AX396" s="218"/>
      <c r="AY396" s="218"/>
      <c r="AZ396" s="218"/>
      <c r="BA396" s="218"/>
      <c r="BB396" s="218"/>
      <c r="BC396" s="218"/>
      <c r="BD396" s="218"/>
      <c r="BE396" s="218"/>
      <c r="BF396" s="218"/>
      <c r="BG396" s="218"/>
      <c r="BH396" s="218"/>
      <c r="BI396" s="218"/>
      <c r="BJ396" s="218"/>
      <c r="BK396" s="218"/>
      <c r="BL396" s="218"/>
      <c r="BM396" s="218"/>
      <c r="BN396" s="218"/>
      <c r="BO396" s="218"/>
      <c r="BP396" s="218"/>
      <c r="BQ396" s="218"/>
      <c r="BR396" s="218"/>
      <c r="BS396" s="218"/>
      <c r="BT396" s="218"/>
    </row>
    <row r="397" ht="12.0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  <c r="AE397" s="218"/>
      <c r="AF397" s="218"/>
      <c r="AG397" s="218"/>
      <c r="AH397" s="218"/>
      <c r="AI397" s="218"/>
      <c r="AJ397" s="218"/>
      <c r="AK397" s="218"/>
      <c r="AL397" s="218"/>
      <c r="AM397" s="218"/>
      <c r="AN397" s="218"/>
      <c r="AO397" s="218"/>
      <c r="AP397" s="218"/>
      <c r="AQ397" s="218"/>
      <c r="AR397" s="218"/>
      <c r="AS397" s="218"/>
      <c r="AT397" s="218"/>
      <c r="AU397" s="218"/>
      <c r="AV397" s="218"/>
      <c r="AW397" s="218"/>
      <c r="AX397" s="218"/>
      <c r="AY397" s="218"/>
      <c r="AZ397" s="218"/>
      <c r="BA397" s="218"/>
      <c r="BB397" s="218"/>
      <c r="BC397" s="218"/>
      <c r="BD397" s="218"/>
      <c r="BE397" s="218"/>
      <c r="BF397" s="218"/>
      <c r="BG397" s="218"/>
      <c r="BH397" s="218"/>
      <c r="BI397" s="218"/>
      <c r="BJ397" s="218"/>
      <c r="BK397" s="218"/>
      <c r="BL397" s="218"/>
      <c r="BM397" s="218"/>
      <c r="BN397" s="218"/>
      <c r="BO397" s="218"/>
      <c r="BP397" s="218"/>
      <c r="BQ397" s="218"/>
      <c r="BR397" s="218"/>
      <c r="BS397" s="218"/>
      <c r="BT397" s="218"/>
    </row>
    <row r="398" ht="12.0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  <c r="AE398" s="218"/>
      <c r="AF398" s="218"/>
      <c r="AG398" s="218"/>
      <c r="AH398" s="218"/>
      <c r="AI398" s="218"/>
      <c r="AJ398" s="218"/>
      <c r="AK398" s="218"/>
      <c r="AL398" s="218"/>
      <c r="AM398" s="218"/>
      <c r="AN398" s="218"/>
      <c r="AO398" s="218"/>
      <c r="AP398" s="218"/>
      <c r="AQ398" s="218"/>
      <c r="AR398" s="218"/>
      <c r="AS398" s="218"/>
      <c r="AT398" s="218"/>
      <c r="AU398" s="218"/>
      <c r="AV398" s="218"/>
      <c r="AW398" s="218"/>
      <c r="AX398" s="218"/>
      <c r="AY398" s="218"/>
      <c r="AZ398" s="218"/>
      <c r="BA398" s="218"/>
      <c r="BB398" s="218"/>
      <c r="BC398" s="218"/>
      <c r="BD398" s="218"/>
      <c r="BE398" s="218"/>
      <c r="BF398" s="218"/>
      <c r="BG398" s="218"/>
      <c r="BH398" s="218"/>
      <c r="BI398" s="218"/>
      <c r="BJ398" s="218"/>
      <c r="BK398" s="218"/>
      <c r="BL398" s="218"/>
      <c r="BM398" s="218"/>
      <c r="BN398" s="218"/>
      <c r="BO398" s="218"/>
      <c r="BP398" s="218"/>
      <c r="BQ398" s="218"/>
      <c r="BR398" s="218"/>
      <c r="BS398" s="218"/>
      <c r="BT398" s="218"/>
    </row>
    <row r="399" ht="12.0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  <c r="AE399" s="218"/>
      <c r="AF399" s="218"/>
      <c r="AG399" s="218"/>
      <c r="AH399" s="218"/>
      <c r="AI399" s="218"/>
      <c r="AJ399" s="218"/>
      <c r="AK399" s="218"/>
      <c r="AL399" s="218"/>
      <c r="AM399" s="218"/>
      <c r="AN399" s="218"/>
      <c r="AO399" s="218"/>
      <c r="AP399" s="218"/>
      <c r="AQ399" s="218"/>
      <c r="AR399" s="218"/>
      <c r="AS399" s="218"/>
      <c r="AT399" s="218"/>
      <c r="AU399" s="218"/>
      <c r="AV399" s="218"/>
      <c r="AW399" s="218"/>
      <c r="AX399" s="218"/>
      <c r="AY399" s="218"/>
      <c r="AZ399" s="218"/>
      <c r="BA399" s="218"/>
      <c r="BB399" s="218"/>
      <c r="BC399" s="218"/>
      <c r="BD399" s="218"/>
      <c r="BE399" s="218"/>
      <c r="BF399" s="218"/>
      <c r="BG399" s="218"/>
      <c r="BH399" s="218"/>
      <c r="BI399" s="218"/>
      <c r="BJ399" s="218"/>
      <c r="BK399" s="218"/>
      <c r="BL399" s="218"/>
      <c r="BM399" s="218"/>
      <c r="BN399" s="218"/>
      <c r="BO399" s="218"/>
      <c r="BP399" s="218"/>
      <c r="BQ399" s="218"/>
      <c r="BR399" s="218"/>
      <c r="BS399" s="218"/>
      <c r="BT399" s="218"/>
    </row>
    <row r="400" ht="12.0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  <c r="AE400" s="218"/>
      <c r="AF400" s="218"/>
      <c r="AG400" s="218"/>
      <c r="AH400" s="218"/>
      <c r="AI400" s="218"/>
      <c r="AJ400" s="218"/>
      <c r="AK400" s="218"/>
      <c r="AL400" s="218"/>
      <c r="AM400" s="218"/>
      <c r="AN400" s="218"/>
      <c r="AO400" s="218"/>
      <c r="AP400" s="218"/>
      <c r="AQ400" s="218"/>
      <c r="AR400" s="218"/>
      <c r="AS400" s="218"/>
      <c r="AT400" s="218"/>
      <c r="AU400" s="218"/>
      <c r="AV400" s="218"/>
      <c r="AW400" s="218"/>
      <c r="AX400" s="218"/>
      <c r="AY400" s="218"/>
      <c r="AZ400" s="218"/>
      <c r="BA400" s="218"/>
      <c r="BB400" s="218"/>
      <c r="BC400" s="218"/>
      <c r="BD400" s="218"/>
      <c r="BE400" s="218"/>
      <c r="BF400" s="218"/>
      <c r="BG400" s="218"/>
      <c r="BH400" s="218"/>
      <c r="BI400" s="218"/>
      <c r="BJ400" s="218"/>
      <c r="BK400" s="218"/>
      <c r="BL400" s="218"/>
      <c r="BM400" s="218"/>
      <c r="BN400" s="218"/>
      <c r="BO400" s="218"/>
      <c r="BP400" s="218"/>
      <c r="BQ400" s="218"/>
      <c r="BR400" s="218"/>
      <c r="BS400" s="218"/>
      <c r="BT400" s="218"/>
    </row>
    <row r="401" ht="12.0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  <c r="AE401" s="218"/>
      <c r="AF401" s="218"/>
      <c r="AG401" s="218"/>
      <c r="AH401" s="218"/>
      <c r="AI401" s="218"/>
      <c r="AJ401" s="218"/>
      <c r="AK401" s="218"/>
      <c r="AL401" s="218"/>
      <c r="AM401" s="218"/>
      <c r="AN401" s="218"/>
      <c r="AO401" s="218"/>
      <c r="AP401" s="218"/>
      <c r="AQ401" s="218"/>
      <c r="AR401" s="218"/>
      <c r="AS401" s="218"/>
      <c r="AT401" s="218"/>
      <c r="AU401" s="218"/>
      <c r="AV401" s="218"/>
      <c r="AW401" s="218"/>
      <c r="AX401" s="218"/>
      <c r="AY401" s="218"/>
      <c r="AZ401" s="218"/>
      <c r="BA401" s="218"/>
      <c r="BB401" s="218"/>
      <c r="BC401" s="218"/>
      <c r="BD401" s="218"/>
      <c r="BE401" s="218"/>
      <c r="BF401" s="218"/>
      <c r="BG401" s="218"/>
      <c r="BH401" s="218"/>
      <c r="BI401" s="218"/>
      <c r="BJ401" s="218"/>
      <c r="BK401" s="218"/>
      <c r="BL401" s="218"/>
      <c r="BM401" s="218"/>
      <c r="BN401" s="218"/>
      <c r="BO401" s="218"/>
      <c r="BP401" s="218"/>
      <c r="BQ401" s="218"/>
      <c r="BR401" s="218"/>
      <c r="BS401" s="218"/>
      <c r="BT401" s="218"/>
    </row>
    <row r="402" ht="12.0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  <c r="AE402" s="218"/>
      <c r="AF402" s="218"/>
      <c r="AG402" s="218"/>
      <c r="AH402" s="218"/>
      <c r="AI402" s="218"/>
      <c r="AJ402" s="218"/>
      <c r="AK402" s="218"/>
      <c r="AL402" s="218"/>
      <c r="AM402" s="218"/>
      <c r="AN402" s="218"/>
      <c r="AO402" s="218"/>
      <c r="AP402" s="218"/>
      <c r="AQ402" s="218"/>
      <c r="AR402" s="218"/>
      <c r="AS402" s="218"/>
      <c r="AT402" s="218"/>
      <c r="AU402" s="218"/>
      <c r="AV402" s="218"/>
      <c r="AW402" s="218"/>
      <c r="AX402" s="218"/>
      <c r="AY402" s="218"/>
      <c r="AZ402" s="218"/>
      <c r="BA402" s="218"/>
      <c r="BB402" s="218"/>
      <c r="BC402" s="218"/>
      <c r="BD402" s="218"/>
      <c r="BE402" s="218"/>
      <c r="BF402" s="218"/>
      <c r="BG402" s="218"/>
      <c r="BH402" s="218"/>
      <c r="BI402" s="218"/>
      <c r="BJ402" s="218"/>
      <c r="BK402" s="218"/>
      <c r="BL402" s="218"/>
      <c r="BM402" s="218"/>
      <c r="BN402" s="218"/>
      <c r="BO402" s="218"/>
      <c r="BP402" s="218"/>
      <c r="BQ402" s="218"/>
      <c r="BR402" s="218"/>
      <c r="BS402" s="218"/>
      <c r="BT402" s="218"/>
    </row>
    <row r="403" ht="12.0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  <c r="AE403" s="218"/>
      <c r="AF403" s="218"/>
      <c r="AG403" s="218"/>
      <c r="AH403" s="218"/>
      <c r="AI403" s="218"/>
      <c r="AJ403" s="218"/>
      <c r="AK403" s="218"/>
      <c r="AL403" s="218"/>
      <c r="AM403" s="218"/>
      <c r="AN403" s="218"/>
      <c r="AO403" s="218"/>
      <c r="AP403" s="218"/>
      <c r="AQ403" s="218"/>
      <c r="AR403" s="218"/>
      <c r="AS403" s="218"/>
      <c r="AT403" s="218"/>
      <c r="AU403" s="218"/>
      <c r="AV403" s="218"/>
      <c r="AW403" s="218"/>
      <c r="AX403" s="218"/>
      <c r="AY403" s="218"/>
      <c r="AZ403" s="218"/>
      <c r="BA403" s="218"/>
      <c r="BB403" s="218"/>
      <c r="BC403" s="218"/>
      <c r="BD403" s="218"/>
      <c r="BE403" s="218"/>
      <c r="BF403" s="218"/>
      <c r="BG403" s="218"/>
      <c r="BH403" s="218"/>
      <c r="BI403" s="218"/>
      <c r="BJ403" s="218"/>
      <c r="BK403" s="218"/>
      <c r="BL403" s="218"/>
      <c r="BM403" s="218"/>
      <c r="BN403" s="218"/>
      <c r="BO403" s="218"/>
      <c r="BP403" s="218"/>
      <c r="BQ403" s="218"/>
      <c r="BR403" s="218"/>
      <c r="BS403" s="218"/>
      <c r="BT403" s="218"/>
    </row>
    <row r="404" ht="12.0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  <c r="AE404" s="218"/>
      <c r="AF404" s="218"/>
      <c r="AG404" s="218"/>
      <c r="AH404" s="218"/>
      <c r="AI404" s="218"/>
      <c r="AJ404" s="218"/>
      <c r="AK404" s="218"/>
      <c r="AL404" s="218"/>
      <c r="AM404" s="218"/>
      <c r="AN404" s="218"/>
      <c r="AO404" s="218"/>
      <c r="AP404" s="218"/>
      <c r="AQ404" s="218"/>
      <c r="AR404" s="218"/>
      <c r="AS404" s="218"/>
      <c r="AT404" s="218"/>
      <c r="AU404" s="218"/>
      <c r="AV404" s="218"/>
      <c r="AW404" s="218"/>
      <c r="AX404" s="218"/>
      <c r="AY404" s="218"/>
      <c r="AZ404" s="218"/>
      <c r="BA404" s="218"/>
      <c r="BB404" s="218"/>
      <c r="BC404" s="218"/>
      <c r="BD404" s="218"/>
      <c r="BE404" s="218"/>
      <c r="BF404" s="218"/>
      <c r="BG404" s="218"/>
      <c r="BH404" s="218"/>
      <c r="BI404" s="218"/>
      <c r="BJ404" s="218"/>
      <c r="BK404" s="218"/>
      <c r="BL404" s="218"/>
      <c r="BM404" s="218"/>
      <c r="BN404" s="218"/>
      <c r="BO404" s="218"/>
      <c r="BP404" s="218"/>
      <c r="BQ404" s="218"/>
      <c r="BR404" s="218"/>
      <c r="BS404" s="218"/>
      <c r="BT404" s="218"/>
    </row>
    <row r="405" ht="12.0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  <c r="AE405" s="218"/>
      <c r="AF405" s="218"/>
      <c r="AG405" s="218"/>
      <c r="AH405" s="218"/>
      <c r="AI405" s="218"/>
      <c r="AJ405" s="218"/>
      <c r="AK405" s="218"/>
      <c r="AL405" s="218"/>
      <c r="AM405" s="218"/>
      <c r="AN405" s="218"/>
      <c r="AO405" s="218"/>
      <c r="AP405" s="218"/>
      <c r="AQ405" s="218"/>
      <c r="AR405" s="218"/>
      <c r="AS405" s="218"/>
      <c r="AT405" s="218"/>
      <c r="AU405" s="218"/>
      <c r="AV405" s="218"/>
      <c r="AW405" s="218"/>
      <c r="AX405" s="218"/>
      <c r="AY405" s="218"/>
      <c r="AZ405" s="218"/>
      <c r="BA405" s="218"/>
      <c r="BB405" s="218"/>
      <c r="BC405" s="218"/>
      <c r="BD405" s="218"/>
      <c r="BE405" s="218"/>
      <c r="BF405" s="218"/>
      <c r="BG405" s="218"/>
      <c r="BH405" s="218"/>
      <c r="BI405" s="218"/>
      <c r="BJ405" s="218"/>
      <c r="BK405" s="218"/>
      <c r="BL405" s="218"/>
      <c r="BM405" s="218"/>
      <c r="BN405" s="218"/>
      <c r="BO405" s="218"/>
      <c r="BP405" s="218"/>
      <c r="BQ405" s="218"/>
      <c r="BR405" s="218"/>
      <c r="BS405" s="218"/>
      <c r="BT405" s="218"/>
    </row>
    <row r="406" ht="12.0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  <c r="AW406" s="218"/>
      <c r="AX406" s="218"/>
      <c r="AY406" s="218"/>
      <c r="AZ406" s="218"/>
      <c r="BA406" s="218"/>
      <c r="BB406" s="218"/>
      <c r="BC406" s="218"/>
      <c r="BD406" s="218"/>
      <c r="BE406" s="218"/>
      <c r="BF406" s="218"/>
      <c r="BG406" s="218"/>
      <c r="BH406" s="218"/>
      <c r="BI406" s="218"/>
      <c r="BJ406" s="218"/>
      <c r="BK406" s="218"/>
      <c r="BL406" s="218"/>
      <c r="BM406" s="218"/>
      <c r="BN406" s="218"/>
      <c r="BO406" s="218"/>
      <c r="BP406" s="218"/>
      <c r="BQ406" s="218"/>
      <c r="BR406" s="218"/>
      <c r="BS406" s="218"/>
      <c r="BT406" s="218"/>
    </row>
    <row r="407" ht="12.0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  <c r="AE407" s="218"/>
      <c r="AF407" s="218"/>
      <c r="AG407" s="218"/>
      <c r="AH407" s="218"/>
      <c r="AI407" s="218"/>
      <c r="AJ407" s="218"/>
      <c r="AK407" s="218"/>
      <c r="AL407" s="218"/>
      <c r="AM407" s="218"/>
      <c r="AN407" s="218"/>
      <c r="AO407" s="218"/>
      <c r="AP407" s="218"/>
      <c r="AQ407" s="218"/>
      <c r="AR407" s="218"/>
      <c r="AS407" s="218"/>
      <c r="AT407" s="218"/>
      <c r="AU407" s="218"/>
      <c r="AV407" s="218"/>
      <c r="AW407" s="218"/>
      <c r="AX407" s="218"/>
      <c r="AY407" s="218"/>
      <c r="AZ407" s="218"/>
      <c r="BA407" s="218"/>
      <c r="BB407" s="218"/>
      <c r="BC407" s="218"/>
      <c r="BD407" s="218"/>
      <c r="BE407" s="218"/>
      <c r="BF407" s="218"/>
      <c r="BG407" s="218"/>
      <c r="BH407" s="218"/>
      <c r="BI407" s="218"/>
      <c r="BJ407" s="218"/>
      <c r="BK407" s="218"/>
      <c r="BL407" s="218"/>
      <c r="BM407" s="218"/>
      <c r="BN407" s="218"/>
      <c r="BO407" s="218"/>
      <c r="BP407" s="218"/>
      <c r="BQ407" s="218"/>
      <c r="BR407" s="218"/>
      <c r="BS407" s="218"/>
      <c r="BT407" s="218"/>
    </row>
    <row r="408" ht="12.0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  <c r="AE408" s="218"/>
      <c r="AF408" s="218"/>
      <c r="AG408" s="218"/>
      <c r="AH408" s="218"/>
      <c r="AI408" s="218"/>
      <c r="AJ408" s="218"/>
      <c r="AK408" s="218"/>
      <c r="AL408" s="218"/>
      <c r="AM408" s="218"/>
      <c r="AN408" s="218"/>
      <c r="AO408" s="218"/>
      <c r="AP408" s="218"/>
      <c r="AQ408" s="218"/>
      <c r="AR408" s="218"/>
      <c r="AS408" s="218"/>
      <c r="AT408" s="218"/>
      <c r="AU408" s="218"/>
      <c r="AV408" s="218"/>
      <c r="AW408" s="218"/>
      <c r="AX408" s="218"/>
      <c r="AY408" s="218"/>
      <c r="AZ408" s="218"/>
      <c r="BA408" s="218"/>
      <c r="BB408" s="218"/>
      <c r="BC408" s="218"/>
      <c r="BD408" s="218"/>
      <c r="BE408" s="218"/>
      <c r="BF408" s="218"/>
      <c r="BG408" s="218"/>
      <c r="BH408" s="218"/>
      <c r="BI408" s="218"/>
      <c r="BJ408" s="218"/>
      <c r="BK408" s="218"/>
      <c r="BL408" s="218"/>
      <c r="BM408" s="218"/>
      <c r="BN408" s="218"/>
      <c r="BO408" s="218"/>
      <c r="BP408" s="218"/>
      <c r="BQ408" s="218"/>
      <c r="BR408" s="218"/>
      <c r="BS408" s="218"/>
      <c r="BT408" s="218"/>
    </row>
    <row r="409" ht="12.0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  <c r="AW409" s="218"/>
      <c r="AX409" s="218"/>
      <c r="AY409" s="218"/>
      <c r="AZ409" s="218"/>
      <c r="BA409" s="218"/>
      <c r="BB409" s="218"/>
      <c r="BC409" s="218"/>
      <c r="BD409" s="218"/>
      <c r="BE409" s="218"/>
      <c r="BF409" s="218"/>
      <c r="BG409" s="218"/>
      <c r="BH409" s="218"/>
      <c r="BI409" s="218"/>
      <c r="BJ409" s="218"/>
      <c r="BK409" s="218"/>
      <c r="BL409" s="218"/>
      <c r="BM409" s="218"/>
      <c r="BN409" s="218"/>
      <c r="BO409" s="218"/>
      <c r="BP409" s="218"/>
      <c r="BQ409" s="218"/>
      <c r="BR409" s="218"/>
      <c r="BS409" s="218"/>
      <c r="BT409" s="218"/>
    </row>
    <row r="410" ht="12.0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  <c r="AW410" s="218"/>
      <c r="AX410" s="218"/>
      <c r="AY410" s="218"/>
      <c r="AZ410" s="218"/>
      <c r="BA410" s="218"/>
      <c r="BB410" s="218"/>
      <c r="BC410" s="218"/>
      <c r="BD410" s="218"/>
      <c r="BE410" s="218"/>
      <c r="BF410" s="218"/>
      <c r="BG410" s="218"/>
      <c r="BH410" s="218"/>
      <c r="BI410" s="218"/>
      <c r="BJ410" s="218"/>
      <c r="BK410" s="218"/>
      <c r="BL410" s="218"/>
      <c r="BM410" s="218"/>
      <c r="BN410" s="218"/>
      <c r="BO410" s="218"/>
      <c r="BP410" s="218"/>
      <c r="BQ410" s="218"/>
      <c r="BR410" s="218"/>
      <c r="BS410" s="218"/>
      <c r="BT410" s="218"/>
    </row>
    <row r="411" ht="12.0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  <c r="AE411" s="218"/>
      <c r="AF411" s="218"/>
      <c r="AG411" s="218"/>
      <c r="AH411" s="218"/>
      <c r="AI411" s="218"/>
      <c r="AJ411" s="218"/>
      <c r="AK411" s="218"/>
      <c r="AL411" s="218"/>
      <c r="AM411" s="218"/>
      <c r="AN411" s="218"/>
      <c r="AO411" s="218"/>
      <c r="AP411" s="218"/>
      <c r="AQ411" s="218"/>
      <c r="AR411" s="218"/>
      <c r="AS411" s="218"/>
      <c r="AT411" s="218"/>
      <c r="AU411" s="218"/>
      <c r="AV411" s="218"/>
      <c r="AW411" s="218"/>
      <c r="AX411" s="218"/>
      <c r="AY411" s="218"/>
      <c r="AZ411" s="218"/>
      <c r="BA411" s="218"/>
      <c r="BB411" s="218"/>
      <c r="BC411" s="218"/>
      <c r="BD411" s="218"/>
      <c r="BE411" s="218"/>
      <c r="BF411" s="218"/>
      <c r="BG411" s="218"/>
      <c r="BH411" s="218"/>
      <c r="BI411" s="218"/>
      <c r="BJ411" s="218"/>
      <c r="BK411" s="218"/>
      <c r="BL411" s="218"/>
      <c r="BM411" s="218"/>
      <c r="BN411" s="218"/>
      <c r="BO411" s="218"/>
      <c r="BP411" s="218"/>
      <c r="BQ411" s="218"/>
      <c r="BR411" s="218"/>
      <c r="BS411" s="218"/>
      <c r="BT411" s="218"/>
    </row>
    <row r="412" ht="12.0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  <c r="AE412" s="218"/>
      <c r="AF412" s="218"/>
      <c r="AG412" s="218"/>
      <c r="AH412" s="218"/>
      <c r="AI412" s="218"/>
      <c r="AJ412" s="218"/>
      <c r="AK412" s="218"/>
      <c r="AL412" s="218"/>
      <c r="AM412" s="218"/>
      <c r="AN412" s="218"/>
      <c r="AO412" s="218"/>
      <c r="AP412" s="218"/>
      <c r="AQ412" s="218"/>
      <c r="AR412" s="218"/>
      <c r="AS412" s="218"/>
      <c r="AT412" s="218"/>
      <c r="AU412" s="218"/>
      <c r="AV412" s="218"/>
      <c r="AW412" s="218"/>
      <c r="AX412" s="218"/>
      <c r="AY412" s="218"/>
      <c r="AZ412" s="218"/>
      <c r="BA412" s="218"/>
      <c r="BB412" s="218"/>
      <c r="BC412" s="218"/>
      <c r="BD412" s="218"/>
      <c r="BE412" s="218"/>
      <c r="BF412" s="218"/>
      <c r="BG412" s="218"/>
      <c r="BH412" s="218"/>
      <c r="BI412" s="218"/>
      <c r="BJ412" s="218"/>
      <c r="BK412" s="218"/>
      <c r="BL412" s="218"/>
      <c r="BM412" s="218"/>
      <c r="BN412" s="218"/>
      <c r="BO412" s="218"/>
      <c r="BP412" s="218"/>
      <c r="BQ412" s="218"/>
      <c r="BR412" s="218"/>
      <c r="BS412" s="218"/>
      <c r="BT412" s="218"/>
    </row>
    <row r="413" ht="12.0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  <c r="AE413" s="218"/>
      <c r="AF413" s="218"/>
      <c r="AG413" s="218"/>
      <c r="AH413" s="218"/>
      <c r="AI413" s="218"/>
      <c r="AJ413" s="218"/>
      <c r="AK413" s="218"/>
      <c r="AL413" s="218"/>
      <c r="AM413" s="218"/>
      <c r="AN413" s="218"/>
      <c r="AO413" s="218"/>
      <c r="AP413" s="218"/>
      <c r="AQ413" s="218"/>
      <c r="AR413" s="218"/>
      <c r="AS413" s="218"/>
      <c r="AT413" s="218"/>
      <c r="AU413" s="218"/>
      <c r="AV413" s="218"/>
      <c r="AW413" s="218"/>
      <c r="AX413" s="218"/>
      <c r="AY413" s="218"/>
      <c r="AZ413" s="218"/>
      <c r="BA413" s="218"/>
      <c r="BB413" s="218"/>
      <c r="BC413" s="218"/>
      <c r="BD413" s="218"/>
      <c r="BE413" s="218"/>
      <c r="BF413" s="218"/>
      <c r="BG413" s="218"/>
      <c r="BH413" s="218"/>
      <c r="BI413" s="218"/>
      <c r="BJ413" s="218"/>
      <c r="BK413" s="218"/>
      <c r="BL413" s="218"/>
      <c r="BM413" s="218"/>
      <c r="BN413" s="218"/>
      <c r="BO413" s="218"/>
      <c r="BP413" s="218"/>
      <c r="BQ413" s="218"/>
      <c r="BR413" s="218"/>
      <c r="BS413" s="218"/>
      <c r="BT413" s="218"/>
    </row>
    <row r="414" ht="15.75" customHeight="1">
      <c r="N414" s="218"/>
      <c r="O414" s="218"/>
      <c r="P414" s="218"/>
      <c r="Q414" s="218"/>
      <c r="R414" s="218"/>
      <c r="S414" s="218"/>
      <c r="T414" s="218"/>
      <c r="U414" s="218"/>
    </row>
    <row r="415" ht="15.75" customHeight="1">
      <c r="N415" s="218"/>
      <c r="O415" s="218"/>
      <c r="P415" s="218"/>
      <c r="Q415" s="218"/>
      <c r="R415" s="218"/>
      <c r="S415" s="218"/>
      <c r="T415" s="218"/>
      <c r="U415" s="218"/>
    </row>
    <row r="416" ht="15.75" customHeight="1">
      <c r="N416" s="218"/>
      <c r="O416" s="218"/>
      <c r="P416" s="218"/>
      <c r="Q416" s="218"/>
      <c r="R416" s="218"/>
      <c r="S416" s="218"/>
      <c r="T416" s="218"/>
      <c r="U416" s="218"/>
    </row>
    <row r="417" ht="15.75" customHeight="1">
      <c r="N417" s="218"/>
      <c r="O417" s="218"/>
      <c r="P417" s="218"/>
      <c r="Q417" s="218"/>
      <c r="R417" s="218"/>
      <c r="S417" s="218"/>
      <c r="T417" s="218"/>
      <c r="U417" s="218"/>
    </row>
    <row r="418" ht="15.75" customHeight="1">
      <c r="N418" s="218"/>
      <c r="O418" s="218"/>
      <c r="P418" s="218"/>
      <c r="Q418" s="218"/>
      <c r="R418" s="218"/>
      <c r="S418" s="218"/>
      <c r="T418" s="218"/>
      <c r="U418" s="218"/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</sheetData>
  <dataValidations>
    <dataValidation type="list" allowBlank="1" showErrorMessage="1" sqref="B1">
      <formula1>Atleti!$B$3:$B$16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8.75"/>
    <col customWidth="1" min="3" max="3" width="19.38"/>
    <col customWidth="1" min="4" max="6" width="15.13"/>
  </cols>
  <sheetData>
    <row r="1">
      <c r="A1" s="10" t="s">
        <v>126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>
      <c r="A2" s="265" t="s">
        <v>128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270" t="s">
        <v>129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>
      <c r="A4" s="2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213" t="s">
        <v>131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>
      <c r="A6" s="265" t="s">
        <v>132</v>
      </c>
      <c r="B6" s="12"/>
      <c r="C6" s="12"/>
      <c r="D6" s="12"/>
      <c r="E6" s="273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3"/>
      <c r="AE6" s="3"/>
      <c r="AF6" s="3"/>
      <c r="AG6" s="3"/>
      <c r="AH6" s="3"/>
      <c r="AI6" s="3"/>
    </row>
    <row r="7">
      <c r="A7" s="275" t="s">
        <v>134</v>
      </c>
      <c r="B7" s="12"/>
      <c r="C7" s="12"/>
      <c r="D7" s="12"/>
      <c r="E7" s="273"/>
      <c r="F7" s="274"/>
      <c r="G7" s="274"/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274"/>
      <c r="AC7" s="274"/>
      <c r="AD7" s="3"/>
      <c r="AE7" s="3"/>
      <c r="AF7" s="3"/>
      <c r="AG7" s="3"/>
      <c r="AH7" s="3"/>
      <c r="AI7" s="3"/>
    </row>
    <row r="8">
      <c r="A8" s="212" t="s">
        <v>135</v>
      </c>
      <c r="B8" s="12"/>
      <c r="C8" s="12"/>
      <c r="D8" s="12"/>
      <c r="E8" s="273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3"/>
      <c r="AE8" s="3"/>
      <c r="AF8" s="3"/>
      <c r="AG8" s="3"/>
      <c r="AH8" s="3"/>
      <c r="AI8" s="3"/>
    </row>
    <row r="9">
      <c r="A9" s="275" t="s">
        <v>136</v>
      </c>
      <c r="B9" s="12"/>
      <c r="C9" s="12"/>
      <c r="D9" s="12"/>
      <c r="E9" s="273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3"/>
      <c r="AE9" s="3"/>
      <c r="AF9" s="3"/>
      <c r="AG9" s="3"/>
      <c r="AH9" s="3"/>
      <c r="AI9" s="3"/>
    </row>
    <row r="10">
      <c r="A10" s="212"/>
      <c r="B10" s="12"/>
      <c r="C10" s="12"/>
      <c r="D10" s="12"/>
      <c r="E10" s="273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3"/>
      <c r="AE10" s="3"/>
      <c r="AF10" s="3"/>
      <c r="AG10" s="3"/>
      <c r="AH10" s="3"/>
      <c r="AI10" s="3"/>
    </row>
    <row r="11">
      <c r="A11" s="212" t="s">
        <v>138</v>
      </c>
      <c r="B11" s="12"/>
      <c r="C11" s="12"/>
      <c r="D11" s="12"/>
      <c r="E11" s="273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3"/>
      <c r="AE11" s="3"/>
      <c r="AF11" s="3"/>
      <c r="AG11" s="3"/>
      <c r="AH11" s="3"/>
      <c r="AI11" s="3"/>
    </row>
    <row r="12">
      <c r="A12" s="275" t="s">
        <v>139</v>
      </c>
      <c r="B12" s="12"/>
      <c r="C12" s="12"/>
      <c r="D12" s="12"/>
      <c r="E12" s="273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3"/>
      <c r="AE12" s="3"/>
      <c r="AF12" s="3"/>
      <c r="AG12" s="3"/>
      <c r="AH12" s="3"/>
      <c r="AI12" s="3"/>
    </row>
    <row r="13">
      <c r="A13" s="275" t="s">
        <v>140</v>
      </c>
      <c r="B13" s="12"/>
      <c r="C13" s="12"/>
      <c r="D13" s="12"/>
      <c r="E13" s="273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3"/>
      <c r="AE13" s="3"/>
      <c r="AF13" s="3"/>
      <c r="AG13" s="3"/>
      <c r="AH13" s="3"/>
      <c r="AI13" s="3"/>
    </row>
    <row r="14">
      <c r="A14" s="275" t="s">
        <v>142</v>
      </c>
      <c r="B14" s="12"/>
      <c r="C14" s="12"/>
      <c r="D14" s="12"/>
      <c r="E14" s="278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3"/>
      <c r="AE14" s="3"/>
      <c r="AF14" s="3"/>
      <c r="AG14" s="3"/>
      <c r="AH14" s="3"/>
      <c r="AI14" s="3"/>
    </row>
    <row r="15">
      <c r="A15" s="212"/>
      <c r="B15" s="12"/>
      <c r="C15" s="12"/>
      <c r="D15" s="12"/>
      <c r="E15" s="278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3"/>
      <c r="AE15" s="3"/>
      <c r="AF15" s="3"/>
      <c r="AG15" s="3"/>
      <c r="AH15" s="3"/>
      <c r="AI15" s="3"/>
    </row>
    <row r="16">
      <c r="A16" s="212" t="s">
        <v>143</v>
      </c>
      <c r="B16" s="12"/>
      <c r="C16" s="12"/>
      <c r="D16" s="12"/>
      <c r="E16" s="278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3"/>
      <c r="AE16" s="3"/>
      <c r="AF16" s="3"/>
      <c r="AG16" s="3"/>
      <c r="AH16" s="3"/>
      <c r="AI16" s="3"/>
    </row>
    <row r="17">
      <c r="A17" s="275" t="s">
        <v>144</v>
      </c>
      <c r="B17" s="12"/>
      <c r="C17" s="12"/>
      <c r="D17" s="12"/>
      <c r="E17" s="278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3"/>
      <c r="AE17" s="3"/>
      <c r="AF17" s="3"/>
      <c r="AG17" s="3"/>
      <c r="AH17" s="3"/>
      <c r="AI17" s="3"/>
    </row>
    <row r="18">
      <c r="A18" s="275" t="s">
        <v>145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2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212" t="s">
        <v>146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 ht="15.75" customHeight="1">
      <c r="A21" s="212" t="s">
        <v>147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 ht="15.75" customHeight="1">
      <c r="A22" s="275" t="s">
        <v>148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 ht="15.75" customHeight="1">
      <c r="A23" s="230" t="s">
        <v>149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ht="15.75" customHeight="1">
      <c r="A24" s="10" t="s">
        <v>150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ht="15.75" customHeight="1">
      <c r="A25" s="230" t="s">
        <v>151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ht="15.75" customHeight="1">
      <c r="A26" s="10" t="s">
        <v>153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 ht="15.75" customHeight="1">
      <c r="A27" s="230" t="s">
        <v>154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 ht="15.75" customHeight="1">
      <c r="A28" s="10" t="s">
        <v>155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 ht="15.75" customHeight="1">
      <c r="A29" s="212" t="s">
        <v>156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ht="15.75" customHeight="1">
      <c r="A30" s="275" t="s">
        <v>157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ht="15.75" customHeight="1">
      <c r="A31" s="212" t="s">
        <v>158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ht="15.75" customHeight="1">
      <c r="A32" s="275" t="s">
        <v>159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ht="15.75" customHeight="1">
      <c r="A33" s="2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 ht="15.75" customHeight="1">
      <c r="A34" s="2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 ht="15.75" customHeight="1">
      <c r="A35" s="213" t="s">
        <v>143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 ht="15.75" customHeight="1">
      <c r="A36" s="275" t="s">
        <v>160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 ht="15.75" customHeight="1">
      <c r="A37" s="275" t="s">
        <v>161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 ht="15.75" customHeight="1">
      <c r="A38" s="28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 ht="15.75" customHeight="1">
      <c r="A39" s="280" t="s">
        <v>162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 ht="15.75" customHeight="1">
      <c r="A40" s="12"/>
      <c r="B40" s="281" t="s">
        <v>163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 ht="15.75" customHeight="1">
      <c r="A41" s="12"/>
      <c r="B41" s="282" t="s">
        <v>164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 ht="15.75" customHeight="1">
      <c r="A42" s="12"/>
      <c r="B42" s="283" t="s">
        <v>165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 ht="15.75" customHeight="1">
      <c r="A43" s="12"/>
      <c r="B43" s="281" t="s">
        <v>166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ht="15.75" customHeight="1">
      <c r="A44" s="12"/>
      <c r="B44" s="281" t="s">
        <v>167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 ht="15.75" customHeight="1">
      <c r="A45" s="12"/>
      <c r="B45" s="282" t="s">
        <v>168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 ht="15.75" customHeight="1">
      <c r="A46" s="280" t="s">
        <v>169</v>
      </c>
      <c r="B46" s="28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 ht="15.75" customHeight="1">
      <c r="A47" s="12"/>
      <c r="B47" s="281" t="s">
        <v>170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 ht="15.75" customHeight="1">
      <c r="A48" s="12"/>
      <c r="B48" s="282" t="s">
        <v>172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 ht="15.75" customHeight="1">
      <c r="A49" s="12"/>
      <c r="B49" s="283" t="s">
        <v>173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 ht="15.75" customHeight="1">
      <c r="A50" s="12"/>
      <c r="B50" s="282" t="s">
        <v>174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 ht="15.75" customHeight="1">
      <c r="A51" s="12"/>
      <c r="B51" s="281" t="s">
        <v>175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 ht="15.75" customHeight="1">
      <c r="A52" s="12"/>
      <c r="B52" s="282" t="s">
        <v>176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 ht="15.75" customHeight="1">
      <c r="A53" s="280" t="s">
        <v>177</v>
      </c>
      <c r="B53" s="28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 ht="15.75" customHeight="1">
      <c r="A54" s="12"/>
      <c r="B54" s="281" t="s">
        <v>178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 ht="15.75" customHeight="1">
      <c r="A55" s="12"/>
      <c r="B55" s="282" t="s">
        <v>180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 ht="15.75" customHeight="1">
      <c r="A56" s="12"/>
      <c r="B56" s="281" t="s">
        <v>181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 ht="15.75" customHeight="1">
      <c r="A57" s="12"/>
      <c r="B57" s="281" t="s">
        <v>182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 ht="15.75" customHeight="1">
      <c r="A58" s="12"/>
      <c r="B58" s="281" t="s">
        <v>185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 ht="15.75" customHeight="1">
      <c r="A59" s="12"/>
      <c r="B59" s="282" t="s">
        <v>190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 ht="15.75" customHeight="1">
      <c r="A60" s="280" t="s">
        <v>191</v>
      </c>
      <c r="B60" s="28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 ht="15.75" customHeight="1">
      <c r="A61" s="12"/>
      <c r="B61" s="281" t="s">
        <v>178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 ht="15.75" customHeight="1">
      <c r="A62" s="12"/>
      <c r="B62" s="282" t="s">
        <v>192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 ht="15.75" customHeight="1">
      <c r="A63" s="12"/>
      <c r="B63" s="281" t="s">
        <v>193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 ht="15.75" customHeight="1">
      <c r="A64" s="12"/>
      <c r="B64" s="281" t="s">
        <v>194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 ht="15.75" customHeight="1">
      <c r="A65" s="12"/>
      <c r="B65" s="282" t="s">
        <v>195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 ht="15.75" customHeight="1">
      <c r="A66" s="280" t="s">
        <v>196</v>
      </c>
      <c r="B66" s="28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 ht="15.75" customHeight="1">
      <c r="A67" s="12"/>
      <c r="B67" s="282" t="s">
        <v>197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 ht="15.75" customHeight="1">
      <c r="A68" s="213"/>
      <c r="B68" s="27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 ht="57.0" customHeight="1">
      <c r="A69" s="10" t="s">
        <v>198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 ht="57.0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 ht="57.0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</row>
  </sheetData>
  <hyperlinks>
    <hyperlink r:id="rId1" ref="A3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11" width="7.5"/>
    <col customWidth="1" min="12" max="12" width="7.0"/>
    <col customWidth="1" min="13" max="21" width="9.5"/>
    <col customWidth="1" min="22" max="26" width="8.75"/>
  </cols>
  <sheetData>
    <row r="1" ht="12.75" customHeight="1">
      <c r="A1" s="224" t="s">
        <v>152</v>
      </c>
      <c r="B1" s="225"/>
      <c r="C1" s="218"/>
      <c r="D1" s="218"/>
      <c r="E1" s="218"/>
      <c r="F1" s="218"/>
      <c r="G1" s="218"/>
      <c r="H1" s="218"/>
      <c r="I1" s="225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75" customHeight="1">
      <c r="A2" s="224" t="s">
        <v>123</v>
      </c>
      <c r="B2" s="225"/>
      <c r="C2" s="218"/>
      <c r="D2" s="218"/>
      <c r="E2" s="218"/>
      <c r="F2" s="218"/>
      <c r="G2" s="218"/>
      <c r="H2" s="218"/>
      <c r="I2" s="225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75" customHeight="1">
      <c r="A3" s="218"/>
      <c r="B3" s="250" t="s">
        <v>80</v>
      </c>
      <c r="C3" s="251"/>
      <c r="D3" s="251"/>
      <c r="E3" s="251"/>
      <c r="F3" s="251"/>
      <c r="G3" s="251"/>
      <c r="H3" s="218"/>
      <c r="J3" s="250" t="s">
        <v>82</v>
      </c>
      <c r="K3" s="251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75" customHeight="1">
      <c r="A4" s="252"/>
      <c r="B4" s="253" t="s">
        <v>31</v>
      </c>
      <c r="C4" s="253" t="s">
        <v>70</v>
      </c>
      <c r="D4" s="253" t="s">
        <v>32</v>
      </c>
      <c r="E4" s="253" t="s">
        <v>68</v>
      </c>
      <c r="F4" s="253" t="s">
        <v>73</v>
      </c>
      <c r="G4" s="253" t="s">
        <v>71</v>
      </c>
      <c r="H4" s="253" t="s">
        <v>84</v>
      </c>
      <c r="J4" s="253" t="s">
        <v>47</v>
      </c>
      <c r="K4" s="253" t="s">
        <v>93</v>
      </c>
      <c r="L4" s="279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75" customHeight="1">
      <c r="A5" s="252"/>
      <c r="B5" s="255">
        <f>COUNTIF(Rilevazione!C2:AN79,B4)</f>
        <v>15</v>
      </c>
      <c r="C5" s="255">
        <f>COUNTIF(Rilevazione!C2:AN79,C4)</f>
        <v>13</v>
      </c>
      <c r="D5" s="255">
        <f>COUNTIF(Rilevazione!D2:AO79,D4)</f>
        <v>7</v>
      </c>
      <c r="E5" s="255">
        <f>COUNTIF(Rilevazione!C2:AN79,E4)</f>
        <v>11</v>
      </c>
      <c r="F5" s="255">
        <f>COUNTIF(Rilevazione!C2:AN79,F4)</f>
        <v>2</v>
      </c>
      <c r="G5" s="255">
        <f>COUNTIF(Rilevazione!C2:AN79,G4)</f>
        <v>5</v>
      </c>
      <c r="H5" s="255">
        <f t="shared" ref="H5:H6" si="1">SUM(B5:G5)</f>
        <v>53</v>
      </c>
      <c r="J5" s="255">
        <f>COUNTIF(Rilevazione!C2:AN79,J4)</f>
        <v>5</v>
      </c>
      <c r="K5" s="255">
        <f>COUNTIF(Rilevazione!C2:AN79,K4)</f>
        <v>1</v>
      </c>
      <c r="L5" s="279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75" customHeight="1">
      <c r="A6" s="252"/>
      <c r="B6" s="262">
        <f>B5/H5</f>
        <v>0.2830188679</v>
      </c>
      <c r="C6" s="262">
        <f>C5/H5</f>
        <v>0.2452830189</v>
      </c>
      <c r="D6" s="262">
        <f>D5/H5</f>
        <v>0.1320754717</v>
      </c>
      <c r="E6" s="262">
        <f>E5/H5</f>
        <v>0.2075471698</v>
      </c>
      <c r="F6" s="262">
        <f>F5/H5</f>
        <v>0.03773584906</v>
      </c>
      <c r="G6" s="262">
        <f>G5/H5</f>
        <v>0.09433962264</v>
      </c>
      <c r="H6" s="264">
        <f t="shared" si="1"/>
        <v>1</v>
      </c>
      <c r="J6" s="267"/>
      <c r="K6" s="267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75" customHeight="1">
      <c r="A7" s="243" t="s">
        <v>127</v>
      </c>
      <c r="B7" s="266">
        <f>(B5-G5)/H5</f>
        <v>0.1886792453</v>
      </c>
      <c r="C7" s="267"/>
      <c r="D7" s="268"/>
      <c r="E7" s="268"/>
      <c r="F7" s="268"/>
      <c r="G7" s="267"/>
      <c r="H7" s="218"/>
      <c r="J7" s="284" t="s">
        <v>61</v>
      </c>
      <c r="K7" s="285">
        <f>COUNTIF(Rilevazione!C2:AN79,J7)</f>
        <v>1</v>
      </c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75" customHeight="1">
      <c r="A8" s="243" t="s">
        <v>120</v>
      </c>
      <c r="B8" s="271">
        <f>(B5+C5+D5)/H5</f>
        <v>0.6603773585</v>
      </c>
      <c r="C8" s="272"/>
      <c r="D8" s="218"/>
      <c r="E8" s="218"/>
      <c r="F8" s="218"/>
      <c r="G8" s="218"/>
      <c r="H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75" customHeight="1">
      <c r="A9" s="218"/>
      <c r="B9" s="276"/>
      <c r="C9" s="272"/>
      <c r="D9" s="218"/>
      <c r="E9" s="218"/>
      <c r="F9" s="218"/>
      <c r="G9" s="218"/>
      <c r="H9" s="218"/>
      <c r="J9" s="225" t="s">
        <v>124</v>
      </c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75" customHeight="1">
      <c r="A10" s="218"/>
      <c r="B10" s="250" t="s">
        <v>79</v>
      </c>
      <c r="C10" s="251"/>
      <c r="D10" s="251"/>
      <c r="E10" s="251"/>
      <c r="F10" s="251"/>
      <c r="G10" s="251"/>
      <c r="H10" s="218"/>
      <c r="J10" s="260" t="s">
        <v>78</v>
      </c>
      <c r="K10" s="261">
        <f>B12+B19+J5</f>
        <v>56</v>
      </c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75" customHeight="1">
      <c r="A11" s="252"/>
      <c r="B11" s="253" t="s">
        <v>48</v>
      </c>
      <c r="C11" s="299" t="s">
        <v>75</v>
      </c>
      <c r="D11" s="299" t="s">
        <v>26</v>
      </c>
      <c r="E11" s="299" t="s">
        <v>57</v>
      </c>
      <c r="F11" s="299" t="s">
        <v>46</v>
      </c>
      <c r="G11" s="253" t="s">
        <v>29</v>
      </c>
      <c r="H11" s="253" t="s">
        <v>84</v>
      </c>
      <c r="J11" s="260" t="s">
        <v>125</v>
      </c>
      <c r="K11" s="261">
        <f>G19+G12+K5+K7</f>
        <v>20</v>
      </c>
      <c r="L11" s="261">
        <f>K11+K12</f>
        <v>25</v>
      </c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75" customHeight="1">
      <c r="A12" s="252"/>
      <c r="B12" s="255">
        <f>COUNTIF(Rilevazione!C2:AN79,B11)</f>
        <v>10</v>
      </c>
      <c r="C12" s="255">
        <f>COUNTIF(Rilevazione!C2:AN79,C11)</f>
        <v>3</v>
      </c>
      <c r="D12" s="255">
        <f>COUNTIF(Rilevazione!D2:AO79,D11)</f>
        <v>35</v>
      </c>
      <c r="E12" s="255">
        <f>COUNTIF(Rilevazione!C2:AN79,E11)</f>
        <v>2</v>
      </c>
      <c r="F12" s="255">
        <f>COUNTIF(Rilevazione!C2:AN79,F11)</f>
        <v>9</v>
      </c>
      <c r="G12" s="255">
        <f>COUNTIF(Rilevazione!C2:AN79,G11)</f>
        <v>11</v>
      </c>
      <c r="H12" s="255">
        <f t="shared" ref="H12:H13" si="2">SUM(B12:G12)</f>
        <v>70</v>
      </c>
      <c r="J12" s="260" t="s">
        <v>130</v>
      </c>
      <c r="K12" s="261">
        <f>G5</f>
        <v>5</v>
      </c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75" customHeight="1">
      <c r="A13" s="252"/>
      <c r="B13" s="262">
        <f>B12/H12</f>
        <v>0.1428571429</v>
      </c>
      <c r="C13" s="262">
        <f>C12/H12</f>
        <v>0.04285714286</v>
      </c>
      <c r="D13" s="262">
        <f>D12/H12</f>
        <v>0.5</v>
      </c>
      <c r="E13" s="262">
        <f>E12/H12</f>
        <v>0.02857142857</v>
      </c>
      <c r="F13" s="262">
        <f>F12/H12</f>
        <v>0.1285714286</v>
      </c>
      <c r="G13" s="262">
        <f>G12/H12</f>
        <v>0.1571428571</v>
      </c>
      <c r="H13" s="262">
        <f t="shared" si="2"/>
        <v>1</v>
      </c>
      <c r="J13" s="260" t="s">
        <v>133</v>
      </c>
      <c r="K13" s="261">
        <f>F19</f>
        <v>2</v>
      </c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75" customHeight="1">
      <c r="A14" s="243" t="s">
        <v>127</v>
      </c>
      <c r="B14" s="266">
        <f>(B12-G12)/H12</f>
        <v>-0.01428571429</v>
      </c>
      <c r="C14" s="267"/>
      <c r="D14" s="267"/>
      <c r="E14" s="267"/>
      <c r="F14" s="267"/>
      <c r="G14" s="267"/>
      <c r="H14" s="218"/>
      <c r="J14" s="260" t="s">
        <v>137</v>
      </c>
      <c r="K14" s="277">
        <f>B7</f>
        <v>0.1886792453</v>
      </c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75" customHeight="1">
      <c r="A15" s="243" t="s">
        <v>171</v>
      </c>
      <c r="B15" s="271">
        <f>(B12+C12)/H12</f>
        <v>0.1857142857</v>
      </c>
      <c r="C15" s="218"/>
      <c r="D15" s="218"/>
      <c r="E15" s="218"/>
      <c r="F15" s="218"/>
      <c r="G15" s="218"/>
      <c r="H15" s="218"/>
      <c r="J15" s="260" t="s">
        <v>141</v>
      </c>
      <c r="K15" s="277">
        <f>B21</f>
        <v>0.3736263736</v>
      </c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75" customHeight="1">
      <c r="A16" s="218"/>
      <c r="B16" s="276"/>
      <c r="C16" s="218"/>
      <c r="D16" s="218"/>
      <c r="E16" s="218"/>
      <c r="F16" s="218"/>
      <c r="G16" s="218"/>
      <c r="H16" s="218"/>
      <c r="J16" s="218" t="s">
        <v>85</v>
      </c>
      <c r="K16" s="249">
        <f>K10-K11-K12</f>
        <v>31</v>
      </c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75" customHeight="1">
      <c r="A17" s="218"/>
      <c r="B17" s="250" t="s">
        <v>81</v>
      </c>
      <c r="C17" s="251"/>
      <c r="D17" s="251"/>
      <c r="E17" s="251"/>
      <c r="F17" s="251"/>
      <c r="G17" s="251"/>
      <c r="H17" s="251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75" customHeight="1">
      <c r="A18" s="252"/>
      <c r="B18" s="253" t="s">
        <v>28</v>
      </c>
      <c r="C18" s="253" t="s">
        <v>51</v>
      </c>
      <c r="D18" s="253" t="s">
        <v>74</v>
      </c>
      <c r="E18" s="253" t="s">
        <v>69</v>
      </c>
      <c r="F18" s="253" t="s">
        <v>76</v>
      </c>
      <c r="G18" s="253" t="s">
        <v>54</v>
      </c>
      <c r="H18" s="253" t="s">
        <v>84</v>
      </c>
      <c r="I18" s="279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75" customHeight="1">
      <c r="A19" s="252"/>
      <c r="B19" s="255">
        <f>COUNTIF(Rilevazione!C2:AN79,B18)</f>
        <v>41</v>
      </c>
      <c r="C19" s="255">
        <f>COUNTIF(Rilevazione!C2:AN79,C18)</f>
        <v>34</v>
      </c>
      <c r="D19" s="255">
        <f>COUNTIF(Rilevazione!C2:AN79,D18)</f>
        <v>2</v>
      </c>
      <c r="E19" s="255">
        <f>COUNTIF(Rilevazione!C2:AN79,E18)</f>
        <v>5</v>
      </c>
      <c r="F19" s="255">
        <f>COUNTIF(Rilevazione!C2:AN79,F18)</f>
        <v>2</v>
      </c>
      <c r="G19" s="255">
        <f>COUNTIF(Rilevazione!C2:AN79,G18)</f>
        <v>7</v>
      </c>
      <c r="H19" s="255">
        <f t="shared" ref="H19:H20" si="3">SUM(B19:G19)</f>
        <v>91</v>
      </c>
      <c r="I19" s="279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75" customHeight="1">
      <c r="A20" s="252"/>
      <c r="B20" s="262">
        <f>B19/H19</f>
        <v>0.4505494505</v>
      </c>
      <c r="C20" s="262">
        <f>C19/H19</f>
        <v>0.3736263736</v>
      </c>
      <c r="D20" s="262">
        <f>D19/H19</f>
        <v>0.02197802198</v>
      </c>
      <c r="E20" s="262">
        <f>E19/H19</f>
        <v>0.05494505495</v>
      </c>
      <c r="F20" s="262">
        <f>F19/H19</f>
        <v>0.02197802198</v>
      </c>
      <c r="G20" s="262">
        <f>G19/H19</f>
        <v>0.07692307692</v>
      </c>
      <c r="H20" s="262">
        <f t="shared" si="3"/>
        <v>1</v>
      </c>
      <c r="I20" s="279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75" customHeight="1">
      <c r="A21" s="243" t="s">
        <v>127</v>
      </c>
      <c r="B21" s="269">
        <f>(B19-G19)/H19</f>
        <v>0.3736263736</v>
      </c>
      <c r="C21" s="267"/>
      <c r="D21" s="267"/>
      <c r="E21" s="267"/>
      <c r="F21" s="267"/>
      <c r="G21" s="267"/>
      <c r="H21" s="267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75" customHeight="1">
      <c r="A22" s="243" t="s">
        <v>120</v>
      </c>
      <c r="B22" s="244">
        <f>(B19+C19+D19+E19)/H19</f>
        <v>0.9010989011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75" customHeight="1">
      <c r="A23" s="218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75" customHeight="1">
      <c r="A24" s="284" t="s">
        <v>201</v>
      </c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75" customHeight="1">
      <c r="A25" s="218"/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3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75" customHeight="1">
      <c r="A27" s="252"/>
      <c r="B27" s="255">
        <f>COUNTIF(Rilevazione!C2:AN13,B26)</f>
        <v>5</v>
      </c>
      <c r="C27" s="255">
        <f>COUNTIF(Rilevazione!C2:AN13,C26)</f>
        <v>1</v>
      </c>
      <c r="D27" s="255">
        <f>COUNTIF(Rilevazione!D2:AO13,D26)</f>
        <v>3</v>
      </c>
      <c r="E27" s="255">
        <f>COUNTIF(Rilevazione!C2:AN13,E26)</f>
        <v>2</v>
      </c>
      <c r="F27" s="255">
        <f>COUNTIF(Rilevazione!C2:AN13,F26)</f>
        <v>0</v>
      </c>
      <c r="G27" s="255">
        <f>COUNTIF(Rilevazione!C2:AN13,G26)</f>
        <v>1</v>
      </c>
      <c r="H27" s="255">
        <f t="shared" ref="H27:H28" si="4">SUM(B27:G27)</f>
        <v>12</v>
      </c>
      <c r="J27" s="255">
        <f>COUNTIF(Rilevazione!C2:AN13,J26)</f>
        <v>2</v>
      </c>
      <c r="K27" s="255">
        <f>COUNTIF(Rilevazione!C2:AN13,K26)</f>
        <v>0</v>
      </c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75" customHeight="1">
      <c r="A28" s="252"/>
      <c r="B28" s="262">
        <f>B27/H27</f>
        <v>0.4166666667</v>
      </c>
      <c r="C28" s="262">
        <f>C27/H27</f>
        <v>0.08333333333</v>
      </c>
      <c r="D28" s="262">
        <f>D27/H27</f>
        <v>0.25</v>
      </c>
      <c r="E28" s="262">
        <f>E27/H27</f>
        <v>0.1666666667</v>
      </c>
      <c r="F28" s="262">
        <f>F27/H27</f>
        <v>0</v>
      </c>
      <c r="G28" s="262">
        <f>G27/H27</f>
        <v>0.08333333333</v>
      </c>
      <c r="H28" s="264">
        <f t="shared" si="4"/>
        <v>1</v>
      </c>
      <c r="J28" s="267"/>
      <c r="K28" s="267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75" customHeight="1">
      <c r="A29" s="243" t="s">
        <v>127</v>
      </c>
      <c r="B29" s="266">
        <f>(B27-G27)/H27</f>
        <v>0.3333333333</v>
      </c>
      <c r="C29" s="267"/>
      <c r="D29" s="268"/>
      <c r="E29" s="268"/>
      <c r="F29" s="268"/>
      <c r="G29" s="267"/>
      <c r="H29" s="218"/>
      <c r="J29" s="284" t="s">
        <v>61</v>
      </c>
      <c r="K29" s="285">
        <f>COUNTIF(Rilevazione!C2:AN13,J29)</f>
        <v>1</v>
      </c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75" customHeight="1">
      <c r="A30" s="243" t="s">
        <v>120</v>
      </c>
      <c r="B30" s="271">
        <f>(B27+C27+D27)/H27</f>
        <v>0.75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75" customHeight="1">
      <c r="A31" s="218"/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21</v>
      </c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3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G41+G34+K29</f>
        <v>7</v>
      </c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75" customHeight="1">
      <c r="A34" s="252"/>
      <c r="B34" s="255">
        <f>COUNTIF(Rilevazione!C2:AN13,B33)</f>
        <v>4</v>
      </c>
      <c r="C34" s="255">
        <f>COUNTIF(Rilevazione!C2:AN13,C33)</f>
        <v>12</v>
      </c>
      <c r="D34" s="255">
        <f>COUNTIF(Rilevazione!D2:AO13,D33)</f>
        <v>2</v>
      </c>
      <c r="E34" s="255">
        <f>COUNTIF(Rilevazione!C2:AN13,E33)</f>
        <v>3</v>
      </c>
      <c r="F34" s="255">
        <f>COUNTIF(Rilevazione!C2:AN13,F33)</f>
        <v>0</v>
      </c>
      <c r="G34" s="255">
        <f>COUNTIF(Rilevazione!C2:AN13,G33)</f>
        <v>3</v>
      </c>
      <c r="H34" s="255">
        <f t="shared" ref="H34:H35" si="5">SUM(B34:G34)</f>
        <v>24</v>
      </c>
      <c r="J34" s="260" t="s">
        <v>130</v>
      </c>
      <c r="K34" s="261">
        <f>G27</f>
        <v>1</v>
      </c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75" customHeight="1">
      <c r="A35" s="252"/>
      <c r="B35" s="262">
        <f>B34/H34</f>
        <v>0.1666666667</v>
      </c>
      <c r="C35" s="262">
        <f>C34/H34</f>
        <v>0.5</v>
      </c>
      <c r="D35" s="262">
        <f>D34/H34</f>
        <v>0.08333333333</v>
      </c>
      <c r="E35" s="262">
        <f>E34/H34</f>
        <v>0.125</v>
      </c>
      <c r="F35" s="262">
        <f>F34/H34</f>
        <v>0</v>
      </c>
      <c r="G35" s="262">
        <f>G34/H34</f>
        <v>0.125</v>
      </c>
      <c r="H35" s="262">
        <f t="shared" si="5"/>
        <v>1</v>
      </c>
      <c r="J35" s="260" t="s">
        <v>133</v>
      </c>
      <c r="K35" s="261">
        <f>F41</f>
        <v>0</v>
      </c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75" customHeight="1">
      <c r="A36" s="243" t="s">
        <v>127</v>
      </c>
      <c r="B36" s="266">
        <f>(B34-G34)/H34</f>
        <v>0.04166666667</v>
      </c>
      <c r="C36" s="267"/>
      <c r="D36" s="267"/>
      <c r="E36" s="267"/>
      <c r="F36" s="267"/>
      <c r="G36" s="267"/>
      <c r="H36" s="218"/>
      <c r="J36" s="260" t="s">
        <v>137</v>
      </c>
      <c r="K36" s="277">
        <f>B29</f>
        <v>0.3333333333</v>
      </c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75" customHeight="1">
      <c r="A37" s="243" t="s">
        <v>120</v>
      </c>
      <c r="B37" s="271">
        <f>(B34+C34)/H34</f>
        <v>0.6666666667</v>
      </c>
      <c r="C37" s="218"/>
      <c r="D37" s="218"/>
      <c r="E37" s="218"/>
      <c r="F37" s="218"/>
      <c r="G37" s="218"/>
      <c r="H37" s="218"/>
      <c r="J37" s="260" t="s">
        <v>141</v>
      </c>
      <c r="K37" s="277">
        <f>B43</f>
        <v>0.5217391304</v>
      </c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75" customHeight="1">
      <c r="A39" s="218"/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79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75" customHeight="1">
      <c r="A41" s="252"/>
      <c r="B41" s="255">
        <f>COUNTIF(Rilevazione!C2:AN13,B40)</f>
        <v>15</v>
      </c>
      <c r="C41" s="255">
        <f>COUNTIF(Rilevazione!C2:AN13,C40)</f>
        <v>4</v>
      </c>
      <c r="D41" s="255">
        <f>COUNTIF(Rilevazione!C2:AN13,D40)</f>
        <v>0</v>
      </c>
      <c r="E41" s="255">
        <f>COUNTIF(Rilevazione!C2:AN13,E40)</f>
        <v>1</v>
      </c>
      <c r="F41" s="255">
        <f>COUNTIF(Rilevazione!C2:AN13,F40)</f>
        <v>0</v>
      </c>
      <c r="G41" s="255">
        <f>COUNTIF(Rilevazione!C2:AN13,G40)</f>
        <v>3</v>
      </c>
      <c r="H41" s="255">
        <f t="shared" ref="H41:H42" si="6">SUM(B41:G41)</f>
        <v>23</v>
      </c>
      <c r="J41" s="279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75" customHeight="1">
      <c r="A42" s="252"/>
      <c r="B42" s="262">
        <f>B41/H41</f>
        <v>0.652173913</v>
      </c>
      <c r="C42" s="262">
        <f>C41/H41</f>
        <v>0.1739130435</v>
      </c>
      <c r="D42" s="262">
        <f>D41/H41</f>
        <v>0</v>
      </c>
      <c r="E42" s="262">
        <f>E41/H41</f>
        <v>0.04347826087</v>
      </c>
      <c r="F42" s="262">
        <f>F41/H41</f>
        <v>0</v>
      </c>
      <c r="G42" s="262">
        <f>G41/H41</f>
        <v>0.1304347826</v>
      </c>
      <c r="H42" s="262">
        <f t="shared" si="6"/>
        <v>1</v>
      </c>
      <c r="J42" s="279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75" customHeight="1">
      <c r="A43" s="243" t="s">
        <v>127</v>
      </c>
      <c r="B43" s="269">
        <f>(B41-G41)/H41</f>
        <v>0.5217391304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75" customHeight="1">
      <c r="A44" s="243" t="s">
        <v>120</v>
      </c>
      <c r="B44" s="244">
        <f>(B41+C41+D41+E41)/H41</f>
        <v>0.8695652174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75" customHeight="1">
      <c r="A45" s="218"/>
      <c r="B45" s="218"/>
      <c r="C45" s="218"/>
      <c r="D45" s="218"/>
      <c r="E45" s="218"/>
      <c r="F45" s="218"/>
      <c r="G45" s="218"/>
      <c r="H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75" customHeight="1">
      <c r="A46" s="284" t="s">
        <v>204</v>
      </c>
      <c r="B46" s="218"/>
      <c r="C46" s="218"/>
      <c r="D46" s="218"/>
      <c r="E46" s="218"/>
      <c r="F46" s="218"/>
      <c r="G46" s="218"/>
      <c r="H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75" customHeight="1">
      <c r="A47" s="218"/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75" customHeight="1">
      <c r="A49" s="252"/>
      <c r="B49" s="255">
        <f>COUNTIF(Rilevazione!C16:AN27,B48)</f>
        <v>2</v>
      </c>
      <c r="C49" s="255">
        <f>COUNTIF(Rilevazione!C16:AN27,C48)</f>
        <v>5</v>
      </c>
      <c r="D49" s="255">
        <f>COUNTIF(Rilevazione!D16:AO27,D48)</f>
        <v>2</v>
      </c>
      <c r="E49" s="255">
        <f>COUNTIF(Rilevazione!C16:AN27,E48)</f>
        <v>6</v>
      </c>
      <c r="F49" s="255">
        <f>COUNTIF(Rilevazione!C16:AN27,F48)</f>
        <v>1</v>
      </c>
      <c r="G49" s="255">
        <f>COUNTIF(Rilevazione!C16:AN27,G48)</f>
        <v>2</v>
      </c>
      <c r="H49" s="255">
        <f t="shared" ref="H49:H50" si="7">SUM(B49:G49)</f>
        <v>18</v>
      </c>
      <c r="J49" s="255">
        <f>COUNTIF(Rilevazione!C16:AN27,J48)</f>
        <v>3</v>
      </c>
      <c r="K49" s="255">
        <f>COUNTIF(Rilevazione!C16:AN27,K48)</f>
        <v>0</v>
      </c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75" customHeight="1">
      <c r="A50" s="252"/>
      <c r="B50" s="262">
        <f>B49/H49</f>
        <v>0.1111111111</v>
      </c>
      <c r="C50" s="262">
        <f>C49/H49</f>
        <v>0.2777777778</v>
      </c>
      <c r="D50" s="262">
        <f>D49/H49</f>
        <v>0.1111111111</v>
      </c>
      <c r="E50" s="262">
        <f>E49/H49</f>
        <v>0.3333333333</v>
      </c>
      <c r="F50" s="262">
        <f>F49/H49</f>
        <v>0.05555555556</v>
      </c>
      <c r="G50" s="262">
        <f>G49/H49</f>
        <v>0.1111111111</v>
      </c>
      <c r="H50" s="264">
        <f t="shared" si="7"/>
        <v>1</v>
      </c>
      <c r="J50" s="267"/>
      <c r="K50" s="267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75" customHeight="1">
      <c r="A51" s="243" t="s">
        <v>127</v>
      </c>
      <c r="B51" s="266">
        <f>(B49-G49)/H49</f>
        <v>0</v>
      </c>
      <c r="C51" s="267"/>
      <c r="D51" s="268"/>
      <c r="E51" s="268"/>
      <c r="F51" s="268"/>
      <c r="G51" s="267"/>
      <c r="H51" s="218"/>
      <c r="J51" s="284" t="s">
        <v>61</v>
      </c>
      <c r="K51" s="285">
        <f>COUNTIF(Rilevazione!C16:AN27,J51)</f>
        <v>0</v>
      </c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75" customHeight="1">
      <c r="A52" s="243" t="s">
        <v>120</v>
      </c>
      <c r="B52" s="271">
        <f>(B49+C49+D49)/H49</f>
        <v>0.5</v>
      </c>
      <c r="C52" s="272"/>
      <c r="D52" s="218"/>
      <c r="E52" s="218"/>
      <c r="F52" s="218"/>
      <c r="G52" s="218"/>
      <c r="H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18</v>
      </c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3</v>
      </c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75" customHeight="1">
      <c r="A56" s="252"/>
      <c r="B56" s="255">
        <f>COUNTIF(Rilevazione!C16:AN27,B55)</f>
        <v>4</v>
      </c>
      <c r="C56" s="255">
        <f>COUNTIF(Rilevazione!C16:AN27,C55)</f>
        <v>10</v>
      </c>
      <c r="D56" s="255">
        <f>COUNTIF(Rilevazione!D16:AO27,D55)</f>
        <v>0</v>
      </c>
      <c r="E56" s="255">
        <f>COUNTIF(Rilevazione!C16:AN27,E55)</f>
        <v>4</v>
      </c>
      <c r="F56" s="255">
        <f>COUNTIF(Rilevazione!C16:AN27,F55)</f>
        <v>3</v>
      </c>
      <c r="G56" s="255">
        <f>COUNTIF(Rilevazione!C16:AN27,G55)</f>
        <v>2</v>
      </c>
      <c r="H56" s="255">
        <f t="shared" ref="H56:H57" si="8">SUM(B56:G56)</f>
        <v>23</v>
      </c>
      <c r="J56" s="260" t="s">
        <v>130</v>
      </c>
      <c r="K56" s="261">
        <f>G49</f>
        <v>2</v>
      </c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75" customHeight="1">
      <c r="A57" s="252"/>
      <c r="B57" s="262">
        <f>B56/H56</f>
        <v>0.1739130435</v>
      </c>
      <c r="C57" s="262">
        <f>C56/H56</f>
        <v>0.4347826087</v>
      </c>
      <c r="D57" s="262">
        <f>D56/H56</f>
        <v>0</v>
      </c>
      <c r="E57" s="262">
        <f>E56/H56</f>
        <v>0.1739130435</v>
      </c>
      <c r="F57" s="262">
        <f>F56/H56</f>
        <v>0.1304347826</v>
      </c>
      <c r="G57" s="262">
        <f>G56/H56</f>
        <v>0.08695652174</v>
      </c>
      <c r="H57" s="262">
        <f t="shared" si="8"/>
        <v>1</v>
      </c>
      <c r="J57" s="260" t="s">
        <v>133</v>
      </c>
      <c r="K57" s="261">
        <f>F63</f>
        <v>1</v>
      </c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75" customHeight="1">
      <c r="A58" s="243" t="s">
        <v>127</v>
      </c>
      <c r="B58" s="266">
        <f>(B56-G56)/H56</f>
        <v>0.08695652174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75" customHeight="1">
      <c r="A59" s="243" t="s">
        <v>120</v>
      </c>
      <c r="B59" s="271">
        <f>(B56+C56)/H56</f>
        <v>0.6086956522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0.3571428571</v>
      </c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75" customHeight="1">
      <c r="A60" s="218"/>
      <c r="B60" s="276"/>
      <c r="C60" s="218"/>
      <c r="D60" s="218"/>
      <c r="E60" s="218"/>
      <c r="F60" s="218"/>
      <c r="G60" s="218"/>
      <c r="H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79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75" customHeight="1">
      <c r="A63" s="252"/>
      <c r="B63" s="255">
        <f>COUNTIF(Rilevazione!C16:AN27,B62)</f>
        <v>11</v>
      </c>
      <c r="C63" s="255">
        <f>COUNTIF(Rilevazione!C16:AN27,C62)</f>
        <v>12</v>
      </c>
      <c r="D63" s="255">
        <f>COUNTIF(Rilevazione!C16:AN27,D62)</f>
        <v>1</v>
      </c>
      <c r="E63" s="255">
        <f>COUNTIF(Rilevazione!C16:AN27,E62)</f>
        <v>2</v>
      </c>
      <c r="F63" s="255">
        <f>COUNTIF(Rilevazione!C16:AN27,F62)</f>
        <v>1</v>
      </c>
      <c r="G63" s="255">
        <f>COUNTIF(Rilevazione!C16:AN27,G62)</f>
        <v>1</v>
      </c>
      <c r="H63" s="255">
        <f t="shared" ref="H63:H64" si="9">SUM(B63:G63)</f>
        <v>28</v>
      </c>
      <c r="J63" s="279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75" customHeight="1">
      <c r="A64" s="252"/>
      <c r="B64" s="262">
        <f>B63/H63</f>
        <v>0.3928571429</v>
      </c>
      <c r="C64" s="262">
        <f>C63/H63</f>
        <v>0.4285714286</v>
      </c>
      <c r="D64" s="262">
        <f>D63/H63</f>
        <v>0.03571428571</v>
      </c>
      <c r="E64" s="262">
        <f>E63/H63</f>
        <v>0.07142857143</v>
      </c>
      <c r="F64" s="262">
        <f>F63/H63</f>
        <v>0.03571428571</v>
      </c>
      <c r="G64" s="262">
        <f>G63/H63</f>
        <v>0.03571428571</v>
      </c>
      <c r="H64" s="262">
        <f t="shared" si="9"/>
        <v>1</v>
      </c>
      <c r="J64" s="279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75" customHeight="1">
      <c r="A65" s="243" t="s">
        <v>127</v>
      </c>
      <c r="B65" s="269">
        <f>(B63-G63)/H63</f>
        <v>0.3571428571</v>
      </c>
      <c r="C65" s="267"/>
      <c r="D65" s="267"/>
      <c r="E65" s="267"/>
      <c r="F65" s="267"/>
      <c r="G65" s="267"/>
      <c r="H65" s="267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75" customHeight="1">
      <c r="A66" s="243" t="s">
        <v>120</v>
      </c>
      <c r="B66" s="244">
        <f>(B63+C63+D63+E63)/H63</f>
        <v>0.9285714286</v>
      </c>
      <c r="C66" s="218"/>
      <c r="D66" s="218"/>
      <c r="E66" s="218"/>
      <c r="F66" s="218"/>
      <c r="G66" s="218"/>
      <c r="H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75" customHeight="1">
      <c r="A67" s="218"/>
      <c r="B67" s="218"/>
      <c r="C67" s="218"/>
      <c r="D67" s="218"/>
      <c r="E67" s="218"/>
      <c r="F67" s="218"/>
      <c r="G67" s="218"/>
      <c r="H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75" customHeight="1">
      <c r="A68" s="218"/>
      <c r="B68" s="218"/>
      <c r="C68" s="218"/>
      <c r="D68" s="218"/>
      <c r="E68" s="218"/>
      <c r="F68" s="218"/>
      <c r="G68" s="218"/>
      <c r="H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75" customHeight="1">
      <c r="A69" s="284" t="s">
        <v>205</v>
      </c>
      <c r="B69" s="218"/>
      <c r="C69" s="218"/>
      <c r="D69" s="218"/>
      <c r="E69" s="218"/>
      <c r="F69" s="218"/>
      <c r="G69" s="218"/>
      <c r="H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75" customHeight="1">
      <c r="A70" s="218"/>
      <c r="B70" s="250" t="s">
        <v>80</v>
      </c>
      <c r="C70" s="251"/>
      <c r="D70" s="251"/>
      <c r="E70" s="251"/>
      <c r="F70" s="251"/>
      <c r="G70" s="251"/>
      <c r="H70" s="218"/>
      <c r="J70" s="250" t="s">
        <v>82</v>
      </c>
      <c r="K70" s="251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75" customHeight="1">
      <c r="A71" s="252"/>
      <c r="B71" s="253" t="s">
        <v>31</v>
      </c>
      <c r="C71" s="253" t="s">
        <v>70</v>
      </c>
      <c r="D71" s="253" t="s">
        <v>32</v>
      </c>
      <c r="E71" s="253" t="s">
        <v>68</v>
      </c>
      <c r="F71" s="253" t="s">
        <v>73</v>
      </c>
      <c r="G71" s="253" t="s">
        <v>71</v>
      </c>
      <c r="H71" s="253" t="s">
        <v>84</v>
      </c>
      <c r="J71" s="253" t="s">
        <v>47</v>
      </c>
      <c r="K71" s="253" t="s">
        <v>93</v>
      </c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75" customHeight="1">
      <c r="A72" s="252"/>
      <c r="B72" s="255">
        <f>COUNTIF(Rilevazione!C30:AN41,B71)</f>
        <v>8</v>
      </c>
      <c r="C72" s="255">
        <f>COUNTIF(Rilevazione!C30:AN41,C71)</f>
        <v>7</v>
      </c>
      <c r="D72" s="255">
        <f>COUNTIF(Rilevazione!D30:AO41,D71)</f>
        <v>2</v>
      </c>
      <c r="E72" s="255">
        <f>COUNTIF(Rilevazione!C30:AN41,E71)</f>
        <v>3</v>
      </c>
      <c r="F72" s="255">
        <f>COUNTIF(Rilevazione!C30:AN41,F71)</f>
        <v>1</v>
      </c>
      <c r="G72" s="255">
        <f>COUNTIF(Rilevazione!C30:AN41,G71)</f>
        <v>2</v>
      </c>
      <c r="H72" s="255">
        <f t="shared" ref="H72:H73" si="10">SUM(B72:G72)</f>
        <v>23</v>
      </c>
      <c r="J72" s="255">
        <f>COUNTIF(Rilevazione!C30:AN41,J71)</f>
        <v>0</v>
      </c>
      <c r="K72" s="255">
        <f>COUNTIF(Rilevazione!C30:AN41,K71)</f>
        <v>1</v>
      </c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75" customHeight="1">
      <c r="A73" s="252"/>
      <c r="B73" s="262">
        <f>B72/H72</f>
        <v>0.347826087</v>
      </c>
      <c r="C73" s="262">
        <f>C72/H72</f>
        <v>0.3043478261</v>
      </c>
      <c r="D73" s="262">
        <f>D72/H72</f>
        <v>0.08695652174</v>
      </c>
      <c r="E73" s="262">
        <f>E72/H72</f>
        <v>0.1304347826</v>
      </c>
      <c r="F73" s="262">
        <f>F72/H72</f>
        <v>0.04347826087</v>
      </c>
      <c r="G73" s="262">
        <f>G72/H72</f>
        <v>0.08695652174</v>
      </c>
      <c r="H73" s="264">
        <f t="shared" si="10"/>
        <v>1</v>
      </c>
      <c r="J73" s="267"/>
      <c r="K73" s="267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75" customHeight="1">
      <c r="A74" s="243" t="s">
        <v>127</v>
      </c>
      <c r="B74" s="266">
        <f>(B72-G72)/H72</f>
        <v>0.2608695652</v>
      </c>
      <c r="C74" s="267"/>
      <c r="D74" s="268"/>
      <c r="E74" s="268"/>
      <c r="F74" s="268"/>
      <c r="G74" s="267"/>
      <c r="H74" s="218"/>
      <c r="J74" s="284" t="s">
        <v>61</v>
      </c>
      <c r="K74" s="285">
        <f>COUNTIF(Rilevazione!C30:AN41,J74)</f>
        <v>0</v>
      </c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75" customHeight="1">
      <c r="A75" s="243" t="s">
        <v>120</v>
      </c>
      <c r="B75" s="271">
        <f>(B72+C72+D72)/H72</f>
        <v>0.7391304348</v>
      </c>
      <c r="C75" s="272"/>
      <c r="D75" s="218"/>
      <c r="E75" s="218"/>
      <c r="F75" s="218"/>
      <c r="G75" s="218"/>
      <c r="H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75" customHeight="1">
      <c r="A76" s="218"/>
      <c r="B76" s="276"/>
      <c r="C76" s="272"/>
      <c r="D76" s="218"/>
      <c r="E76" s="218"/>
      <c r="F76" s="218"/>
      <c r="G76" s="218"/>
      <c r="H76" s="218"/>
      <c r="J76" s="225" t="s">
        <v>124</v>
      </c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75" customHeight="1">
      <c r="A77" s="218"/>
      <c r="B77" s="250" t="s">
        <v>79</v>
      </c>
      <c r="C77" s="251"/>
      <c r="D77" s="251"/>
      <c r="E77" s="251"/>
      <c r="F77" s="251"/>
      <c r="G77" s="251"/>
      <c r="H77" s="218"/>
      <c r="J77" s="260" t="s">
        <v>78</v>
      </c>
      <c r="K77" s="261">
        <f>B79+B86+J72</f>
        <v>17</v>
      </c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75" customHeight="1">
      <c r="A78" s="252"/>
      <c r="B78" s="253" t="s">
        <v>48</v>
      </c>
      <c r="C78" s="253" t="s">
        <v>26</v>
      </c>
      <c r="D78" s="253" t="s">
        <v>57</v>
      </c>
      <c r="E78" s="253" t="s">
        <v>46</v>
      </c>
      <c r="F78" s="253" t="s">
        <v>75</v>
      </c>
      <c r="G78" s="253" t="s">
        <v>29</v>
      </c>
      <c r="H78" s="253" t="s">
        <v>84</v>
      </c>
      <c r="J78" s="260" t="s">
        <v>125</v>
      </c>
      <c r="K78" s="261">
        <f>G86+G79+K74</f>
        <v>9</v>
      </c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75" customHeight="1">
      <c r="A79" s="252"/>
      <c r="B79" s="255">
        <f>COUNTIF(Rilevazione!C30:AN41,B78)</f>
        <v>2</v>
      </c>
      <c r="C79" s="255">
        <f>COUNTIF(Rilevazione!C30:AN41,C78)</f>
        <v>15</v>
      </c>
      <c r="D79" s="255">
        <f>COUNTIF(Rilevazione!D30:AO41,D78)</f>
        <v>0</v>
      </c>
      <c r="E79" s="255">
        <f>COUNTIF(Rilevazione!C30:AN41,E78)</f>
        <v>2</v>
      </c>
      <c r="F79" s="255">
        <f>COUNTIF(Rilevazione!C30:AN41,F78)</f>
        <v>0</v>
      </c>
      <c r="G79" s="255">
        <f>COUNTIF(Rilevazione!C30:AN41,G78)</f>
        <v>6</v>
      </c>
      <c r="H79" s="255">
        <f t="shared" ref="H79:H80" si="11">SUM(B79:G79)</f>
        <v>25</v>
      </c>
      <c r="J79" s="260" t="s">
        <v>130</v>
      </c>
      <c r="K79" s="261">
        <f>G72</f>
        <v>2</v>
      </c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75" customHeight="1">
      <c r="A80" s="252"/>
      <c r="B80" s="262">
        <f>B79/H79</f>
        <v>0.08</v>
      </c>
      <c r="C80" s="262">
        <f>C79/H79</f>
        <v>0.6</v>
      </c>
      <c r="D80" s="262">
        <f>D79/H79</f>
        <v>0</v>
      </c>
      <c r="E80" s="262">
        <f>E79/H79</f>
        <v>0.08</v>
      </c>
      <c r="F80" s="262">
        <f>F79/H79</f>
        <v>0</v>
      </c>
      <c r="G80" s="262">
        <f>G79/H79</f>
        <v>0.24</v>
      </c>
      <c r="H80" s="262">
        <f t="shared" si="11"/>
        <v>1</v>
      </c>
      <c r="J80" s="260" t="s">
        <v>133</v>
      </c>
      <c r="K80" s="261">
        <f>F86</f>
        <v>1</v>
      </c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75" customHeight="1">
      <c r="A81" s="243" t="s">
        <v>127</v>
      </c>
      <c r="B81" s="266">
        <f>(B79-G79)/H79</f>
        <v>-0.16</v>
      </c>
      <c r="C81" s="267"/>
      <c r="D81" s="267"/>
      <c r="E81" s="267"/>
      <c r="F81" s="267"/>
      <c r="G81" s="267"/>
      <c r="H81" s="218"/>
      <c r="J81" s="260" t="s">
        <v>137</v>
      </c>
      <c r="K81" s="277">
        <f>B74</f>
        <v>0.2608695652</v>
      </c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75" customHeight="1">
      <c r="A82" s="243" t="s">
        <v>120</v>
      </c>
      <c r="B82" s="271">
        <f>(B79+C79)/H79</f>
        <v>0.68</v>
      </c>
      <c r="C82" s="218"/>
      <c r="D82" s="218"/>
      <c r="E82" s="218"/>
      <c r="F82" s="218"/>
      <c r="G82" s="218"/>
      <c r="H82" s="218"/>
      <c r="J82" s="260" t="s">
        <v>141</v>
      </c>
      <c r="K82" s="277">
        <f>B88</f>
        <v>0.3</v>
      </c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75" customHeight="1">
      <c r="A83" s="218"/>
      <c r="B83" s="276"/>
      <c r="C83" s="218"/>
      <c r="D83" s="218"/>
      <c r="E83" s="218"/>
      <c r="F83" s="218"/>
      <c r="G83" s="218"/>
      <c r="H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75" customHeight="1">
      <c r="A84" s="218"/>
      <c r="B84" s="250" t="s">
        <v>81</v>
      </c>
      <c r="C84" s="251"/>
      <c r="D84" s="251"/>
      <c r="E84" s="251"/>
      <c r="F84" s="251"/>
      <c r="G84" s="251"/>
      <c r="H84" s="251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75" customHeight="1">
      <c r="A85" s="252"/>
      <c r="B85" s="253" t="s">
        <v>28</v>
      </c>
      <c r="C85" s="253" t="s">
        <v>51</v>
      </c>
      <c r="D85" s="253" t="s">
        <v>74</v>
      </c>
      <c r="E85" s="253" t="s">
        <v>69</v>
      </c>
      <c r="F85" s="253" t="s">
        <v>76</v>
      </c>
      <c r="G85" s="253" t="s">
        <v>54</v>
      </c>
      <c r="H85" s="253" t="s">
        <v>84</v>
      </c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75" customHeight="1">
      <c r="A86" s="252"/>
      <c r="B86" s="255">
        <f>COUNTIF(Rilevazione!C30:AN41,B85)</f>
        <v>15</v>
      </c>
      <c r="C86" s="255">
        <f>COUNTIF(Rilevazione!C30:AN41,C85)</f>
        <v>18</v>
      </c>
      <c r="D86" s="255">
        <f>COUNTIF(Rilevazione!C30:AN41,D85)</f>
        <v>1</v>
      </c>
      <c r="E86" s="255">
        <f>COUNTIF(Rilevazione!C30:AN41,E85)</f>
        <v>2</v>
      </c>
      <c r="F86" s="255">
        <f>COUNTIF(Rilevazione!C30:AN41,F85)</f>
        <v>1</v>
      </c>
      <c r="G86" s="255">
        <f>COUNTIF(Rilevazione!C30:AN41,G85)</f>
        <v>3</v>
      </c>
      <c r="H86" s="255">
        <f t="shared" ref="H86:H87" si="12">SUM(B86:G86)</f>
        <v>40</v>
      </c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75" customHeight="1">
      <c r="A87" s="252"/>
      <c r="B87" s="262">
        <f>B86/H86</f>
        <v>0.375</v>
      </c>
      <c r="C87" s="262">
        <f>C86/H86</f>
        <v>0.45</v>
      </c>
      <c r="D87" s="262">
        <f>D86/H86</f>
        <v>0.025</v>
      </c>
      <c r="E87" s="262">
        <f>E86/H86</f>
        <v>0.05</v>
      </c>
      <c r="F87" s="262">
        <f>F86/H86</f>
        <v>0.025</v>
      </c>
      <c r="G87" s="262">
        <f>G86/H86</f>
        <v>0.075</v>
      </c>
      <c r="H87" s="262">
        <f t="shared" si="12"/>
        <v>1</v>
      </c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75" customHeight="1">
      <c r="A88" s="243" t="s">
        <v>127</v>
      </c>
      <c r="B88" s="269">
        <f>(B86-G86)/H86</f>
        <v>0.3</v>
      </c>
      <c r="C88" s="267"/>
      <c r="D88" s="267"/>
      <c r="E88" s="267"/>
      <c r="F88" s="267"/>
      <c r="G88" s="267"/>
      <c r="H88" s="267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75" customHeight="1">
      <c r="A89" s="243" t="s">
        <v>120</v>
      </c>
      <c r="B89" s="244">
        <f>(B86+C86+D86+E86)/H86</f>
        <v>0.9</v>
      </c>
      <c r="C89" s="218"/>
      <c r="D89" s="218"/>
      <c r="E89" s="218"/>
      <c r="F89" s="218"/>
      <c r="G89" s="218"/>
      <c r="H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75" customHeight="1">
      <c r="A90" s="218"/>
      <c r="B90" s="218"/>
      <c r="C90" s="218"/>
      <c r="D90" s="218"/>
      <c r="E90" s="218"/>
      <c r="F90" s="218"/>
      <c r="G90" s="218"/>
      <c r="H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75" customHeight="1">
      <c r="A91" s="218"/>
      <c r="B91" s="218"/>
      <c r="C91" s="218"/>
      <c r="D91" s="218"/>
      <c r="E91" s="218"/>
      <c r="F91" s="218"/>
      <c r="G91" s="218"/>
      <c r="H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75" customHeight="1">
      <c r="A92" s="284" t="s">
        <v>206</v>
      </c>
      <c r="B92" s="218"/>
      <c r="C92" s="218"/>
      <c r="D92" s="218"/>
      <c r="E92" s="218"/>
      <c r="F92" s="218"/>
      <c r="G92" s="218"/>
      <c r="H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75" customHeight="1">
      <c r="A93" s="218"/>
      <c r="B93" s="250" t="s">
        <v>80</v>
      </c>
      <c r="C93" s="251"/>
      <c r="D93" s="251"/>
      <c r="E93" s="251"/>
      <c r="F93" s="251"/>
      <c r="G93" s="251"/>
      <c r="H93" s="218"/>
      <c r="J93" s="250" t="s">
        <v>82</v>
      </c>
      <c r="K93" s="251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75" customHeight="1">
      <c r="A94" s="252"/>
      <c r="B94" s="253" t="s">
        <v>31</v>
      </c>
      <c r="C94" s="253" t="s">
        <v>70</v>
      </c>
      <c r="D94" s="253" t="s">
        <v>32</v>
      </c>
      <c r="E94" s="253" t="s">
        <v>68</v>
      </c>
      <c r="F94" s="253" t="s">
        <v>73</v>
      </c>
      <c r="G94" s="253" t="s">
        <v>71</v>
      </c>
      <c r="H94" s="300" t="s">
        <v>84</v>
      </c>
      <c r="J94" s="253" t="s">
        <v>47</v>
      </c>
      <c r="K94" s="253" t="s">
        <v>93</v>
      </c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75" customHeight="1">
      <c r="A95" s="252"/>
      <c r="B95" s="255">
        <f>COUNTIF(Rilevazione!C44:AN55,B94)</f>
        <v>0</v>
      </c>
      <c r="C95" s="255">
        <f>COUNTIF(Rilevazione!C44:AN55,C94)</f>
        <v>0</v>
      </c>
      <c r="D95" s="255">
        <f>COUNTIF(Rilevazione!D44:AO55,D94)</f>
        <v>0</v>
      </c>
      <c r="E95" s="255">
        <f>COUNTIF(Rilevazione!C44:AN55,E94)</f>
        <v>0</v>
      </c>
      <c r="F95" s="255">
        <f>COUNTIF(Rilevazione!C44:AN55,F94)</f>
        <v>0</v>
      </c>
      <c r="G95" s="255">
        <f>COUNTIF(Rilevazione!C44:AN55,G94)</f>
        <v>0</v>
      </c>
      <c r="H95" s="256">
        <f t="shared" ref="H95:H96" si="14">SUM(B95:G95)</f>
        <v>0</v>
      </c>
      <c r="J95" s="255">
        <f>COUNTIF(Rilevazione!C44:AN55,J94)</f>
        <v>0</v>
      </c>
      <c r="K95" s="255">
        <f>COUNTIF(Rilevazione!C44:AN55,K94)</f>
        <v>0</v>
      </c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75" customHeight="1">
      <c r="A96" s="252"/>
      <c r="B96" s="262">
        <f t="shared" ref="B96:G96" si="13">if($H$95=0,0,B95/$H$95)</f>
        <v>0</v>
      </c>
      <c r="C96" s="262">
        <f t="shared" si="13"/>
        <v>0</v>
      </c>
      <c r="D96" s="262">
        <f t="shared" si="13"/>
        <v>0</v>
      </c>
      <c r="E96" s="262">
        <f t="shared" si="13"/>
        <v>0</v>
      </c>
      <c r="F96" s="262">
        <f t="shared" si="13"/>
        <v>0</v>
      </c>
      <c r="G96" s="262">
        <f t="shared" si="13"/>
        <v>0</v>
      </c>
      <c r="H96" s="313">
        <f t="shared" si="14"/>
        <v>0</v>
      </c>
      <c r="J96" s="267"/>
      <c r="K96" s="267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75" customHeight="1">
      <c r="A97" s="243" t="s">
        <v>127</v>
      </c>
      <c r="B97" s="266">
        <f>if(H95=0,0,(B95-G95)/H95)</f>
        <v>0</v>
      </c>
      <c r="C97" s="267"/>
      <c r="D97" s="268"/>
      <c r="E97" s="268"/>
      <c r="F97" s="268"/>
      <c r="G97" s="267"/>
      <c r="H97" s="218"/>
      <c r="J97" s="284" t="s">
        <v>61</v>
      </c>
      <c r="K97" s="285">
        <f>COUNTIF(Rilevazione!C44:AN55,J97)</f>
        <v>0</v>
      </c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75" customHeight="1">
      <c r="A98" s="243" t="s">
        <v>120</v>
      </c>
      <c r="B98" s="271">
        <f>if(H95=0,0,(B95+C95+D95)/H95)</f>
        <v>0</v>
      </c>
      <c r="C98" s="272"/>
      <c r="D98" s="218"/>
      <c r="E98" s="218"/>
      <c r="F98" s="218"/>
      <c r="G98" s="218"/>
      <c r="H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75" customHeight="1">
      <c r="A99" s="218"/>
      <c r="B99" s="276"/>
      <c r="C99" s="272"/>
      <c r="D99" s="218"/>
      <c r="E99" s="218"/>
      <c r="F99" s="218"/>
      <c r="G99" s="218"/>
      <c r="H99" s="218"/>
      <c r="J99" s="225" t="s">
        <v>124</v>
      </c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75" customHeight="1">
      <c r="A100" s="218"/>
      <c r="B100" s="250" t="s">
        <v>79</v>
      </c>
      <c r="C100" s="251"/>
      <c r="D100" s="251"/>
      <c r="E100" s="251"/>
      <c r="F100" s="251"/>
      <c r="G100" s="251"/>
      <c r="H100" s="218"/>
      <c r="J100" s="260" t="s">
        <v>78</v>
      </c>
      <c r="K100" s="261">
        <f>B102+B109+J95</f>
        <v>0</v>
      </c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75" customHeight="1">
      <c r="A101" s="252"/>
      <c r="B101" s="253" t="s">
        <v>48</v>
      </c>
      <c r="C101" s="253" t="s">
        <v>26</v>
      </c>
      <c r="D101" s="253" t="s">
        <v>26</v>
      </c>
      <c r="E101" s="253" t="s">
        <v>46</v>
      </c>
      <c r="F101" s="253" t="s">
        <v>75</v>
      </c>
      <c r="G101" s="253" t="s">
        <v>29</v>
      </c>
      <c r="H101" s="253" t="s">
        <v>84</v>
      </c>
      <c r="J101" s="260" t="s">
        <v>125</v>
      </c>
      <c r="K101" s="261">
        <f>G109+G102+K97</f>
        <v>0</v>
      </c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75" customHeight="1">
      <c r="A102" s="252"/>
      <c r="B102" s="255">
        <f>COUNTIF(Rilevazione!C44:AN55,B101)</f>
        <v>0</v>
      </c>
      <c r="C102" s="255">
        <f>COUNTIF(Rilevazione!C44:AN55,C101)</f>
        <v>0</v>
      </c>
      <c r="D102" s="255">
        <f>COUNTIF(Rilevazione!D44:AO55,D101)</f>
        <v>0</v>
      </c>
      <c r="E102" s="255">
        <f>COUNTIF(Rilevazione!C44:AN55,E101)</f>
        <v>0</v>
      </c>
      <c r="F102" s="255">
        <f>COUNTIF(Rilevazione!C44:AN55,F101)</f>
        <v>0</v>
      </c>
      <c r="G102" s="255">
        <f>COUNTIF(Rilevazione!C44:AN55,G101)</f>
        <v>0</v>
      </c>
      <c r="H102" s="255">
        <f t="shared" ref="H102:H103" si="16">SUM(B102:G102)</f>
        <v>0</v>
      </c>
      <c r="J102" s="260" t="s">
        <v>130</v>
      </c>
      <c r="K102" s="261">
        <f>G95</f>
        <v>0</v>
      </c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75" customHeight="1">
      <c r="A103" s="252"/>
      <c r="B103" s="262">
        <f t="shared" ref="B103:G103" si="15">if($H$102=0,0,B102/$H$102)</f>
        <v>0</v>
      </c>
      <c r="C103" s="262">
        <f t="shared" si="15"/>
        <v>0</v>
      </c>
      <c r="D103" s="262">
        <f t="shared" si="15"/>
        <v>0</v>
      </c>
      <c r="E103" s="262">
        <f t="shared" si="15"/>
        <v>0</v>
      </c>
      <c r="F103" s="262">
        <f t="shared" si="15"/>
        <v>0</v>
      </c>
      <c r="G103" s="262">
        <f t="shared" si="15"/>
        <v>0</v>
      </c>
      <c r="H103" s="262">
        <f t="shared" si="16"/>
        <v>0</v>
      </c>
      <c r="J103" s="260" t="s">
        <v>133</v>
      </c>
      <c r="K103" s="261">
        <f>F109</f>
        <v>0</v>
      </c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75" customHeight="1">
      <c r="A104" s="243" t="s">
        <v>127</v>
      </c>
      <c r="B104" s="266">
        <f>if(H102=0,0,(B102-G102)/H102)</f>
        <v>0</v>
      </c>
      <c r="C104" s="267"/>
      <c r="D104" s="267"/>
      <c r="E104" s="267"/>
      <c r="F104" s="267"/>
      <c r="G104" s="267"/>
      <c r="H104" s="218"/>
      <c r="J104" s="260" t="s">
        <v>137</v>
      </c>
      <c r="K104" s="277">
        <f>B97</f>
        <v>0</v>
      </c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75" customHeight="1">
      <c r="A105" s="243" t="s">
        <v>120</v>
      </c>
      <c r="B105" s="271">
        <f>if(H102=0,0,(B102+C102)/H102)</f>
        <v>0</v>
      </c>
      <c r="C105" s="218"/>
      <c r="D105" s="218"/>
      <c r="E105" s="218"/>
      <c r="F105" s="218"/>
      <c r="G105" s="218"/>
      <c r="H105" s="218"/>
      <c r="J105" s="260" t="s">
        <v>141</v>
      </c>
      <c r="K105" s="277">
        <f>B111</f>
        <v>0</v>
      </c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75" customHeight="1">
      <c r="A106" s="218"/>
      <c r="B106" s="276"/>
      <c r="C106" s="218"/>
      <c r="D106" s="218"/>
      <c r="E106" s="218"/>
      <c r="F106" s="218"/>
      <c r="G106" s="218"/>
      <c r="H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75" customHeight="1">
      <c r="A107" s="218"/>
      <c r="B107" s="250" t="s">
        <v>81</v>
      </c>
      <c r="C107" s="251"/>
      <c r="D107" s="251"/>
      <c r="E107" s="251"/>
      <c r="F107" s="251"/>
      <c r="G107" s="251"/>
      <c r="H107" s="251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75" customHeight="1">
      <c r="A108" s="252"/>
      <c r="B108" s="253" t="s">
        <v>28</v>
      </c>
      <c r="C108" s="253" t="s">
        <v>51</v>
      </c>
      <c r="D108" s="253" t="s">
        <v>74</v>
      </c>
      <c r="E108" s="253" t="s">
        <v>69</v>
      </c>
      <c r="F108" s="253" t="s">
        <v>76</v>
      </c>
      <c r="G108" s="253" t="s">
        <v>54</v>
      </c>
      <c r="H108" s="253" t="s">
        <v>84</v>
      </c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75" customHeight="1">
      <c r="A109" s="252"/>
      <c r="B109" s="255">
        <f>COUNTIF(Rilevazione!C44:AN55,B108)</f>
        <v>0</v>
      </c>
      <c r="C109" s="255">
        <f>COUNTIF(Rilevazione!C44:AN55,C108)</f>
        <v>0</v>
      </c>
      <c r="D109" s="255">
        <f>COUNTIF(Rilevazione!C44:AN55,D108)</f>
        <v>0</v>
      </c>
      <c r="E109" s="255">
        <f>COUNTIF(Rilevazione!C44:AN55,E108)</f>
        <v>0</v>
      </c>
      <c r="F109" s="255">
        <f>COUNTIF(Rilevazione!C44:AN55,F108)</f>
        <v>0</v>
      </c>
      <c r="G109" s="255">
        <f>COUNTIF(Rilevazione!C44:AN55,G108)</f>
        <v>0</v>
      </c>
      <c r="H109" s="255">
        <f t="shared" ref="H109:H110" si="18">SUM(B109:G109)</f>
        <v>0</v>
      </c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75" customHeight="1">
      <c r="A110" s="252"/>
      <c r="B110" s="262">
        <f t="shared" ref="B110:G110" si="17">if($H$109=0,0,B109/$H$109)</f>
        <v>0</v>
      </c>
      <c r="C110" s="262">
        <f t="shared" si="17"/>
        <v>0</v>
      </c>
      <c r="D110" s="262">
        <f t="shared" si="17"/>
        <v>0</v>
      </c>
      <c r="E110" s="262">
        <f t="shared" si="17"/>
        <v>0</v>
      </c>
      <c r="F110" s="262">
        <f t="shared" si="17"/>
        <v>0</v>
      </c>
      <c r="G110" s="262">
        <f t="shared" si="17"/>
        <v>0</v>
      </c>
      <c r="H110" s="262">
        <f t="shared" si="18"/>
        <v>0</v>
      </c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75" customHeight="1">
      <c r="A111" s="243" t="s">
        <v>127</v>
      </c>
      <c r="B111" s="269">
        <f>if(H109=0,0,(B109-G109)/H109)</f>
        <v>0</v>
      </c>
      <c r="C111" s="267"/>
      <c r="D111" s="267"/>
      <c r="E111" s="267"/>
      <c r="F111" s="267"/>
      <c r="G111" s="267"/>
      <c r="H111" s="267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75" customHeight="1">
      <c r="A112" s="243" t="s">
        <v>120</v>
      </c>
      <c r="B112" s="244">
        <f>if(H109=0,0,(B109+C109+D109+E109)/H109)</f>
        <v>0</v>
      </c>
      <c r="C112" s="218"/>
      <c r="D112" s="218"/>
      <c r="E112" s="218"/>
      <c r="F112" s="218"/>
      <c r="G112" s="218"/>
      <c r="H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75" customHeight="1">
      <c r="A113" s="218"/>
      <c r="B113" s="218"/>
      <c r="C113" s="218"/>
      <c r="D113" s="218"/>
      <c r="E113" s="218"/>
      <c r="F113" s="218"/>
      <c r="G113" s="218"/>
      <c r="H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75" customHeight="1">
      <c r="A114" s="218"/>
      <c r="B114" s="218"/>
      <c r="C114" s="218"/>
      <c r="D114" s="218"/>
      <c r="E114" s="218"/>
      <c r="F114" s="218"/>
      <c r="G114" s="218"/>
      <c r="H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75" customHeight="1">
      <c r="A115" s="284" t="s">
        <v>207</v>
      </c>
      <c r="B115" s="218"/>
      <c r="C115" s="218"/>
      <c r="D115" s="218"/>
      <c r="E115" s="218"/>
      <c r="F115" s="218"/>
      <c r="G115" s="218"/>
      <c r="H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75" customHeight="1">
      <c r="A116" s="218"/>
      <c r="B116" s="250" t="s">
        <v>80</v>
      </c>
      <c r="C116" s="251"/>
      <c r="D116" s="251"/>
      <c r="E116" s="251"/>
      <c r="F116" s="251"/>
      <c r="G116" s="251"/>
      <c r="H116" s="218"/>
      <c r="J116" s="250" t="s">
        <v>82</v>
      </c>
      <c r="K116" s="251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75" customHeight="1">
      <c r="A117" s="252"/>
      <c r="B117" s="253" t="s">
        <v>31</v>
      </c>
      <c r="C117" s="253" t="s">
        <v>70</v>
      </c>
      <c r="D117" s="253" t="s">
        <v>32</v>
      </c>
      <c r="E117" s="253" t="s">
        <v>68</v>
      </c>
      <c r="F117" s="253" t="s">
        <v>73</v>
      </c>
      <c r="G117" s="253" t="s">
        <v>71</v>
      </c>
      <c r="H117" s="253" t="s">
        <v>84</v>
      </c>
      <c r="J117" s="253" t="s">
        <v>47</v>
      </c>
      <c r="K117" s="253" t="s">
        <v>93</v>
      </c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75" customHeight="1">
      <c r="A118" s="252"/>
      <c r="B118" s="255">
        <f>COUNTIF(Rilevazione!C58:AN64,B117)</f>
        <v>0</v>
      </c>
      <c r="C118" s="255">
        <f>COUNTIF(Rilevazione!C58:AN64,C117)</f>
        <v>0</v>
      </c>
      <c r="D118" s="255">
        <f>COUNTIF(Rilevazione!D58:AO64,D117)</f>
        <v>0</v>
      </c>
      <c r="E118" s="255">
        <f>COUNTIF(Rilevazione!C58:AN64,E117)</f>
        <v>0</v>
      </c>
      <c r="F118" s="255">
        <f>COUNTIF(Rilevazione!C58:AN64,F117)</f>
        <v>0</v>
      </c>
      <c r="G118" s="255">
        <f>COUNTIF(Rilevazione!C58:AN64,G117)</f>
        <v>0</v>
      </c>
      <c r="H118" s="255">
        <f t="shared" ref="H118:H119" si="20">SUM(B118:G118)</f>
        <v>0</v>
      </c>
      <c r="J118" s="255">
        <f>COUNTIF(Rilevazione!C58:AN64,J117)</f>
        <v>0</v>
      </c>
      <c r="K118" s="255">
        <f>COUNTIF(Rilevazione!C58:AN64,K117)</f>
        <v>0</v>
      </c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75" customHeight="1">
      <c r="A119" s="252"/>
      <c r="B119" s="262">
        <f t="shared" ref="B119:G119" si="19">if($H$118=0,0,B118/$H$118)</f>
        <v>0</v>
      </c>
      <c r="C119" s="262">
        <f t="shared" si="19"/>
        <v>0</v>
      </c>
      <c r="D119" s="262">
        <f t="shared" si="19"/>
        <v>0</v>
      </c>
      <c r="E119" s="262">
        <f t="shared" si="19"/>
        <v>0</v>
      </c>
      <c r="F119" s="262">
        <f t="shared" si="19"/>
        <v>0</v>
      </c>
      <c r="G119" s="262">
        <f t="shared" si="19"/>
        <v>0</v>
      </c>
      <c r="H119" s="264">
        <f t="shared" si="20"/>
        <v>0</v>
      </c>
      <c r="J119" s="267"/>
      <c r="K119" s="267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75" customHeight="1">
      <c r="A120" s="243" t="s">
        <v>127</v>
      </c>
      <c r="B120" s="266">
        <f>if(H118=0,0,(B118-G118)/H118)</f>
        <v>0</v>
      </c>
      <c r="C120" s="267"/>
      <c r="D120" s="268"/>
      <c r="E120" s="268"/>
      <c r="F120" s="268"/>
      <c r="G120" s="267"/>
      <c r="H120" s="218"/>
      <c r="J120" s="284" t="s">
        <v>61</v>
      </c>
      <c r="K120" s="285">
        <f>COUNTIF(Rilevazione!C58:AN64,J120)</f>
        <v>0</v>
      </c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75" customHeight="1">
      <c r="A121" s="243" t="s">
        <v>120</v>
      </c>
      <c r="B121" s="271">
        <f>if(H118=0,0,(B118+C118+D118)/H118)</f>
        <v>0</v>
      </c>
      <c r="C121" s="272"/>
      <c r="D121" s="218"/>
      <c r="E121" s="218"/>
      <c r="F121" s="218"/>
      <c r="G121" s="218"/>
      <c r="H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75" customHeight="1">
      <c r="A122" s="218"/>
      <c r="B122" s="276"/>
      <c r="C122" s="272"/>
      <c r="D122" s="218"/>
      <c r="E122" s="218"/>
      <c r="F122" s="218"/>
      <c r="G122" s="218"/>
      <c r="H122" s="218"/>
      <c r="J122" s="225" t="s">
        <v>124</v>
      </c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75" customHeight="1">
      <c r="A123" s="218"/>
      <c r="B123" s="250" t="s">
        <v>79</v>
      </c>
      <c r="C123" s="251"/>
      <c r="D123" s="251"/>
      <c r="E123" s="251"/>
      <c r="F123" s="251"/>
      <c r="G123" s="251"/>
      <c r="H123" s="218"/>
      <c r="J123" s="260" t="s">
        <v>78</v>
      </c>
      <c r="K123" s="261">
        <f>B125+B132+J118</f>
        <v>0</v>
      </c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75" customHeight="1">
      <c r="A124" s="252"/>
      <c r="B124" s="253" t="s">
        <v>48</v>
      </c>
      <c r="C124" s="253" t="s">
        <v>26</v>
      </c>
      <c r="D124" s="253" t="s">
        <v>57</v>
      </c>
      <c r="E124" s="253" t="s">
        <v>46</v>
      </c>
      <c r="F124" s="253" t="s">
        <v>75</v>
      </c>
      <c r="G124" s="253" t="s">
        <v>29</v>
      </c>
      <c r="H124" s="253" t="s">
        <v>84</v>
      </c>
      <c r="J124" s="260" t="s">
        <v>125</v>
      </c>
      <c r="K124" s="261">
        <f>G132+G125</f>
        <v>0</v>
      </c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75" customHeight="1">
      <c r="A125" s="252"/>
      <c r="B125" s="255">
        <f>COUNTIF(Rilevazione!C58:AN64,B124)</f>
        <v>0</v>
      </c>
      <c r="C125" s="255">
        <f>COUNTIF(Rilevazione!C58:AN64,C124)</f>
        <v>0</v>
      </c>
      <c r="D125" s="255">
        <f>COUNTIF(Rilevazione!D58:AO64,D124)</f>
        <v>0</v>
      </c>
      <c r="E125" s="255">
        <f>COUNTIF(Rilevazione!C58:AN64,E124)</f>
        <v>0</v>
      </c>
      <c r="F125" s="255">
        <f>COUNTIF(Rilevazione!C58:AN64,F124)</f>
        <v>0</v>
      </c>
      <c r="G125" s="255">
        <f>COUNTIF(Rilevazione!C58:AN64,G124)</f>
        <v>0</v>
      </c>
      <c r="H125" s="255">
        <f t="shared" ref="H125:H126" si="22">SUM(B125:G125)</f>
        <v>0</v>
      </c>
      <c r="J125" s="260" t="s">
        <v>130</v>
      </c>
      <c r="K125" s="261">
        <f>G118</f>
        <v>0</v>
      </c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75" customHeight="1">
      <c r="A126" s="252"/>
      <c r="B126" s="262">
        <f t="shared" ref="B126:G126" si="21">if($H$125=0,0,B125/$H$125)</f>
        <v>0</v>
      </c>
      <c r="C126" s="262">
        <f t="shared" si="21"/>
        <v>0</v>
      </c>
      <c r="D126" s="262">
        <f t="shared" si="21"/>
        <v>0</v>
      </c>
      <c r="E126" s="262">
        <f t="shared" si="21"/>
        <v>0</v>
      </c>
      <c r="F126" s="262">
        <f t="shared" si="21"/>
        <v>0</v>
      </c>
      <c r="G126" s="262">
        <f t="shared" si="21"/>
        <v>0</v>
      </c>
      <c r="H126" s="262">
        <f t="shared" si="22"/>
        <v>0</v>
      </c>
      <c r="J126" s="260" t="s">
        <v>133</v>
      </c>
      <c r="K126" s="261">
        <f>F132</f>
        <v>0</v>
      </c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75" customHeight="1">
      <c r="A127" s="243" t="s">
        <v>127</v>
      </c>
      <c r="B127" s="266">
        <f>if(H125=0,0,(B125-G125)/H125)</f>
        <v>0</v>
      </c>
      <c r="C127" s="267"/>
      <c r="D127" s="267"/>
      <c r="E127" s="267"/>
      <c r="F127" s="267"/>
      <c r="G127" s="267"/>
      <c r="H127" s="218"/>
      <c r="J127" s="260" t="s">
        <v>137</v>
      </c>
      <c r="K127" s="277">
        <f>B120</f>
        <v>0</v>
      </c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75" customHeight="1">
      <c r="A128" s="243" t="s">
        <v>120</v>
      </c>
      <c r="B128" s="271">
        <f>if(H125=0,0,(B125+C125)/H125)</f>
        <v>0</v>
      </c>
      <c r="C128" s="218"/>
      <c r="D128" s="218"/>
      <c r="E128" s="218"/>
      <c r="F128" s="218"/>
      <c r="G128" s="218"/>
      <c r="H128" s="218"/>
      <c r="J128" s="260" t="s">
        <v>141</v>
      </c>
      <c r="K128" s="277">
        <f>B134</f>
        <v>0</v>
      </c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75" customHeight="1">
      <c r="A129" s="218"/>
      <c r="B129" s="276"/>
      <c r="C129" s="218"/>
      <c r="D129" s="218"/>
      <c r="E129" s="218"/>
      <c r="F129" s="218"/>
      <c r="G129" s="218"/>
      <c r="H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75" customHeight="1">
      <c r="A130" s="218"/>
      <c r="B130" s="250" t="s">
        <v>81</v>
      </c>
      <c r="C130" s="251"/>
      <c r="D130" s="251"/>
      <c r="E130" s="251"/>
      <c r="F130" s="251"/>
      <c r="G130" s="251"/>
      <c r="H130" s="251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75" customHeight="1">
      <c r="A131" s="252"/>
      <c r="B131" s="253" t="s">
        <v>28</v>
      </c>
      <c r="C131" s="253" t="s">
        <v>51</v>
      </c>
      <c r="D131" s="253" t="s">
        <v>74</v>
      </c>
      <c r="E131" s="253" t="s">
        <v>69</v>
      </c>
      <c r="F131" s="253" t="s">
        <v>76</v>
      </c>
      <c r="G131" s="253" t="s">
        <v>54</v>
      </c>
      <c r="H131" s="253" t="s">
        <v>84</v>
      </c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75" customHeight="1">
      <c r="A132" s="252"/>
      <c r="B132" s="255">
        <f>COUNTIF(Rilevazione!C58:AN64,B131)</f>
        <v>0</v>
      </c>
      <c r="C132" s="255">
        <f>COUNTIF(Rilevazione!C58:AN64,C131)</f>
        <v>0</v>
      </c>
      <c r="D132" s="255">
        <f>COUNTIF(Rilevazione!C58:AN64,D131)</f>
        <v>0</v>
      </c>
      <c r="E132" s="255">
        <f>COUNTIF(Rilevazione!C58:AN64,E131)</f>
        <v>0</v>
      </c>
      <c r="F132" s="255">
        <f>COUNTIF(Rilevazione!C58:AN64,F131)</f>
        <v>0</v>
      </c>
      <c r="G132" s="255">
        <f>COUNTIF(Rilevazione!C58:AN64,G131)</f>
        <v>0</v>
      </c>
      <c r="H132" s="255">
        <f t="shared" ref="H132:H133" si="24">SUM(B132:G132)</f>
        <v>0</v>
      </c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75" customHeight="1">
      <c r="A133" s="252"/>
      <c r="B133" s="262">
        <f t="shared" ref="B133:G133" si="23">if($H$132=0,0,B132/$H$132)</f>
        <v>0</v>
      </c>
      <c r="C133" s="262">
        <f t="shared" si="23"/>
        <v>0</v>
      </c>
      <c r="D133" s="262">
        <f t="shared" si="23"/>
        <v>0</v>
      </c>
      <c r="E133" s="262">
        <f t="shared" si="23"/>
        <v>0</v>
      </c>
      <c r="F133" s="262">
        <f t="shared" si="23"/>
        <v>0</v>
      </c>
      <c r="G133" s="262">
        <f t="shared" si="23"/>
        <v>0</v>
      </c>
      <c r="H133" s="262">
        <f t="shared" si="24"/>
        <v>0</v>
      </c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75" customHeight="1">
      <c r="A134" s="243" t="s">
        <v>127</v>
      </c>
      <c r="B134" s="269">
        <f>if(H132=0,0,(B132-G132)/H132)</f>
        <v>0</v>
      </c>
      <c r="C134" s="267"/>
      <c r="D134" s="267"/>
      <c r="E134" s="267"/>
      <c r="F134" s="267"/>
      <c r="G134" s="267"/>
      <c r="H134" s="267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75" customHeight="1">
      <c r="A135" s="243" t="s">
        <v>120</v>
      </c>
      <c r="B135" s="244">
        <f>if(H132=0,0,(B132+C132+D132+E132)/H132)</f>
        <v>0</v>
      </c>
      <c r="C135" s="218"/>
      <c r="D135" s="218"/>
      <c r="E135" s="218"/>
      <c r="F135" s="218"/>
      <c r="G135" s="218"/>
      <c r="H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75" customHeight="1">
      <c r="A136" s="218"/>
      <c r="B136" s="218"/>
      <c r="C136" s="218"/>
      <c r="D136" s="218"/>
      <c r="E136" s="218"/>
      <c r="F136" s="218"/>
      <c r="G136" s="218"/>
      <c r="H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1" width="9.5"/>
    <col customWidth="1" min="42" max="42" width="4.75"/>
    <col customWidth="1" min="43" max="43" width="6.0"/>
  </cols>
  <sheetData>
    <row r="1" ht="12.75" customHeight="1">
      <c r="A1" s="225" t="s">
        <v>218</v>
      </c>
      <c r="B1" s="331">
        <f>Atleti!B3</f>
        <v>19</v>
      </c>
      <c r="C1" s="332" t="str">
        <f>Atleti!D3</f>
        <v>Elisa Toffoli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2</v>
      </c>
      <c r="O5" s="255">
        <f>COUNTIF(B136:AG136,O4)</f>
        <v>0</v>
      </c>
      <c r="P5" s="255">
        <f t="shared" ref="P5:Q5" si="1">COUNTIF(B136:AG136,P4)</f>
        <v>1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3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</row>
    <row r="6" ht="12.75" customHeight="1">
      <c r="A6" s="252"/>
      <c r="B6" s="255">
        <f>COUNTIF(B136:AG140,B5)</f>
        <v>4</v>
      </c>
      <c r="C6" s="255">
        <f>COUNTIF(B136:AG140,C5)</f>
        <v>1</v>
      </c>
      <c r="D6" s="256">
        <f>COUNTIF(B136:AG140,D5)</f>
        <v>3</v>
      </c>
      <c r="E6" s="257">
        <f>COUNTIF(B136:AG140,E5)</f>
        <v>1</v>
      </c>
      <c r="F6" s="258">
        <f>COUNTIF(B136:AG140,F5)</f>
        <v>1</v>
      </c>
      <c r="G6" s="255">
        <f>COUNTIF(B136:AG140,G5)</f>
        <v>0</v>
      </c>
      <c r="H6" s="255">
        <f t="shared" ref="H6:H7" si="4">SUM(B6:G6)</f>
        <v>10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0.6666666667</v>
      </c>
      <c r="O6" s="262">
        <f>IF(T5&gt;0,O5/T5,0)</f>
        <v>0</v>
      </c>
      <c r="P6" s="262">
        <f t="shared" ref="P6:Q6" si="2">IF(T5&gt;0,P5/T5,0)</f>
        <v>0.3333333333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1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</row>
    <row r="7" ht="12.75" customHeight="1">
      <c r="A7" s="252"/>
      <c r="B7" s="262">
        <f>IF(H6&gt;0,B6/H6,0)</f>
        <v>0.4</v>
      </c>
      <c r="C7" s="262">
        <f>IF(H6&gt;0,C6/H6,0)</f>
        <v>0.1</v>
      </c>
      <c r="D7" s="262">
        <f>IF(H6&gt;0,D6/H6,0)</f>
        <v>0.3</v>
      </c>
      <c r="E7" s="263">
        <f>IF(H6&gt;0,E6/H6,0)</f>
        <v>0.1</v>
      </c>
      <c r="F7" s="262">
        <f>IF(F6&gt;0,F6/H6,0)</f>
        <v>0.1</v>
      </c>
      <c r="G7" s="262">
        <f>IF(G6&gt;0,G6/H6,0)</f>
        <v>0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0.6666666667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</row>
    <row r="8" ht="12.75" customHeight="1">
      <c r="A8" s="243" t="s">
        <v>127</v>
      </c>
      <c r="B8" s="266">
        <f>IF(H6&gt;0,(B6-G6)/H6,0)</f>
        <v>0.4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1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</row>
    <row r="9" ht="12.75" customHeight="1">
      <c r="A9" s="243" t="s">
        <v>120</v>
      </c>
      <c r="B9" s="271">
        <f>IF(H6&gt;0,(B6+C6+D6)/H6,0)</f>
        <v>0.8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2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33"/>
      <c r="AP10" s="18"/>
      <c r="AQ10" s="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6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1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2</v>
      </c>
      <c r="L12" s="218"/>
      <c r="M12" s="252"/>
      <c r="N12" s="255">
        <f>COUNTIF(B136:AG136,N11)</f>
        <v>0</v>
      </c>
      <c r="O12" s="255">
        <f>COUNTIF(B136:AG136,O11)</f>
        <v>4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1</v>
      </c>
      <c r="T12" s="255">
        <f t="shared" ref="T12:T13" si="8">SUM(N12:S12)</f>
        <v>5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1</v>
      </c>
      <c r="C13" s="255">
        <f>COUNTIF(B136:AG140,C12)</f>
        <v>1</v>
      </c>
      <c r="D13" s="255">
        <f t="shared" ref="D13:E13" si="6">COUNTIF(B136:AG140,D12)</f>
        <v>7</v>
      </c>
      <c r="E13" s="255">
        <f t="shared" si="6"/>
        <v>0</v>
      </c>
      <c r="F13" s="255">
        <f>COUNTIF(B136:AG140,F12)</f>
        <v>2</v>
      </c>
      <c r="G13" s="255">
        <f>COUNTIF(B136:AG140,G12)</f>
        <v>2</v>
      </c>
      <c r="H13" s="255">
        <f t="shared" ref="H13:H14" si="10">SUM(B13:G13)</f>
        <v>13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0.07692307692</v>
      </c>
      <c r="C14" s="262">
        <f>IF(H13&gt;0,C13/H13,0)</f>
        <v>0.07692307692</v>
      </c>
      <c r="D14" s="262">
        <f t="shared" ref="D14:E14" si="9">IF(H13&gt;0,D13/H13,0)</f>
        <v>0.5384615385</v>
      </c>
      <c r="E14" s="262">
        <f t="shared" si="9"/>
        <v>0</v>
      </c>
      <c r="F14" s="262">
        <f>IF(H13&gt;0,F13/H13,0)</f>
        <v>0.1538461538</v>
      </c>
      <c r="G14" s="262">
        <f>IF(H13&gt;0,G13/H13,0)</f>
        <v>0.1538461538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-0.2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0.6666666667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-0.07692307692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0.4</v>
      </c>
      <c r="L15" s="218"/>
      <c r="M15" s="243" t="s">
        <v>120</v>
      </c>
      <c r="N15" s="271">
        <f>IF(T12&gt;0,(N12+O12)/T12,0)</f>
        <v>0.8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1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0.1538461538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0.4545454545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4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2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2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45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5</v>
      </c>
      <c r="C20" s="255">
        <f>COUNTIF(B136:AG140,C19)</f>
        <v>5</v>
      </c>
      <c r="D20" s="255">
        <f>COUNTIF(B136:AG140,D19)</f>
        <v>1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11</v>
      </c>
      <c r="J20" s="218"/>
      <c r="K20" s="218"/>
      <c r="L20" s="218"/>
      <c r="M20" s="252"/>
      <c r="N20" s="262">
        <f>IF(T19&gt;0,N19/T19,0)</f>
        <v>1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0.4545454545</v>
      </c>
      <c r="C21" s="262">
        <f>IF(H20&gt;0,C20/H20,0)</f>
        <v>0.4545454545</v>
      </c>
      <c r="D21" s="262">
        <f>IF(H20&gt;0,D20/H20,0)</f>
        <v>0.09090909091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1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0.4545454545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1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2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1</v>
      </c>
      <c r="F27" s="255">
        <f>COUNTIF(B137:AG137,F26)</f>
        <v>1</v>
      </c>
      <c r="G27" s="255">
        <f>COUNTIF(B137:AG137,G26)</f>
        <v>0</v>
      </c>
      <c r="H27" s="255">
        <f t="shared" ref="H27:H28" si="16">SUM(B27:G27)</f>
        <v>4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1</v>
      </c>
      <c r="P27" s="255">
        <f t="shared" ref="P27:Q27" si="14">COUNTIF(B138:AG138,P26)</f>
        <v>2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3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0.5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0.25</v>
      </c>
      <c r="G28" s="262">
        <f>IF(H27&gt;0,G27/H27,0)</f>
        <v>0</v>
      </c>
      <c r="H28" s="264">
        <f t="shared" si="16"/>
        <v>0.75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0.3333333333</v>
      </c>
      <c r="P28" s="262">
        <f t="shared" ref="P28:Q28" si="17">IF(T27&gt;0,P27/T27,0)</f>
        <v>0.6666666667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1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0.5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0.5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1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1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3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L32" s="234" t="s">
        <v>79</v>
      </c>
      <c r="AM32" s="235">
        <f>B13</f>
        <v>1</v>
      </c>
      <c r="AN32" s="236">
        <f>G13</f>
        <v>2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1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L33" s="234" t="s">
        <v>81</v>
      </c>
      <c r="AM33" s="235">
        <f>B20</f>
        <v>5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2</v>
      </c>
      <c r="F34" s="255">
        <f t="shared" si="19"/>
        <v>1</v>
      </c>
      <c r="G34" s="255">
        <f>COUNTIF(B137:AG137,G33)</f>
        <v>0</v>
      </c>
      <c r="H34" s="255">
        <f t="shared" ref="H34:H35" si="23">SUM(B34:G34)</f>
        <v>3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1</v>
      </c>
      <c r="O34" s="255">
        <f t="shared" ref="O34:P34" si="20">COUNTIF(B138:AG138,O33)</f>
        <v>3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1</v>
      </c>
      <c r="T34" s="255">
        <f>SUM(N34:S34)</f>
        <v>5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0.6666666667</v>
      </c>
      <c r="F35" s="262">
        <f t="shared" si="22"/>
        <v>0.3333333333</v>
      </c>
      <c r="G35" s="262">
        <f t="shared" si="22"/>
        <v>0</v>
      </c>
      <c r="H35" s="262">
        <f t="shared" si="23"/>
        <v>1</v>
      </c>
      <c r="J35" s="260" t="s">
        <v>137</v>
      </c>
      <c r="K35" s="277">
        <f>B29</f>
        <v>0.5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0.25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0.4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0.8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4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1</v>
      </c>
      <c r="C41" s="255">
        <f>COUNTIF(B137:AG137,C40)</f>
        <v>2</v>
      </c>
      <c r="D41" s="255">
        <f>COUNTIF(B137:AG137,D40)</f>
        <v>1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4</v>
      </c>
      <c r="J41" s="218"/>
      <c r="K41" s="218"/>
      <c r="L41" s="218"/>
      <c r="M41" s="252"/>
      <c r="N41" s="255">
        <f>COUNTIF(B138:AG138,N40)</f>
        <v>2</v>
      </c>
      <c r="O41" s="255">
        <f>COUNTIF(B138:AG138,O40)</f>
        <v>3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5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0.25</v>
      </c>
      <c r="C42" s="262">
        <f>IF(H41&gt;0,C41/H41,0)</f>
        <v>0.5</v>
      </c>
      <c r="D42" s="262">
        <f>IF(H41&gt;0,D41/H41,0)</f>
        <v>0.25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0.4</v>
      </c>
      <c r="O42" s="262">
        <f>IF(T41&gt;0,O41/T41,0)</f>
        <v>0.6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0.25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0.4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1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1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B+</v>
      </c>
      <c r="C136" s="319" t="str">
        <f>VLOOKUP(B1,Rilevazione!B2:AF13,3,0)</f>
        <v>B+</v>
      </c>
      <c r="D136" s="319" t="str">
        <f>VLOOKUP(B1,Rilevazione!B2:AF13,4,0)</f>
        <v>B+</v>
      </c>
      <c r="E136" s="319" t="str">
        <f>VLOOKUP(B1,Rilevazione!B2:AF13,5,0)</f>
        <v>A#</v>
      </c>
      <c r="F136" s="319" t="str">
        <f>VLOOKUP(B1,Rilevazione!B2:AF13,6,0)</f>
        <v>B+</v>
      </c>
      <c r="G136" s="319" t="str">
        <f>VLOOKUP(B1,Rilevazione!B2:AF13,7,0)</f>
        <v>B=</v>
      </c>
      <c r="H136" s="319" t="str">
        <f>VLOOKUP(B1,Rilevazione!B2:AF13,8,0)</f>
        <v>R#</v>
      </c>
      <c r="I136" s="319" t="str">
        <f>VLOOKUP(B1,Rilevazione!B2:AF13,9,0)</f>
        <v>R#</v>
      </c>
      <c r="J136" s="319" t="str">
        <f>VLOOKUP(B1,Rilevazione!B2:AF13,10,0)</f>
        <v>R!</v>
      </c>
      <c r="K136" s="319" t="str">
        <f>VLOOKUP(B1,Rilevazione!B2:AF13,11,0)</f>
        <v>A#</v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R/</v>
      </c>
      <c r="C137" s="319" t="str">
        <f>VLOOKUP(B1,Rilevazione!B16:AF27,3,0)</f>
        <v>A!</v>
      </c>
      <c r="D137" s="319" t="str">
        <f>VLOOKUP(B1,Rilevazione!B16:AF27,4,0)</f>
        <v>A+</v>
      </c>
      <c r="E137" s="319" t="str">
        <f>VLOOKUP(B1,Rilevazione!B16:AF27,5,0)</f>
        <v>M!</v>
      </c>
      <c r="F137" s="319" t="str">
        <f>VLOOKUP(B1,Rilevazione!B16:AF27,6,0)</f>
        <v>A#</v>
      </c>
      <c r="G137" s="319" t="str">
        <f>VLOOKUP(B1,Rilevazione!B16:AF27,7,0)</f>
        <v>R-</v>
      </c>
      <c r="H137" s="319" t="str">
        <f>VLOOKUP(B1,Rilevazione!B16:AF27,8,0)</f>
        <v>B-</v>
      </c>
      <c r="I137" s="319" t="str">
        <f>VLOOKUP(B1,Rilevazione!B16:AF27,9,0)</f>
        <v>B/</v>
      </c>
      <c r="J137" s="319" t="str">
        <f>VLOOKUP(B1,Rilevazione!B16:AF27,10,0)</f>
        <v>B-</v>
      </c>
      <c r="K137" s="319" t="str">
        <f>VLOOKUP(B1,Rilevazione!B16:AF27,11,0)</f>
        <v>A+</v>
      </c>
      <c r="L137" s="319" t="str">
        <f>VLOOKUP(B1,Rilevazione!B16:AF27,12,0)</f>
        <v>R#</v>
      </c>
      <c r="M137" s="319" t="str">
        <f>VLOOKUP(B1,Rilevazione!B16:AF27,13,0)</f>
        <v>R#</v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B#</v>
      </c>
      <c r="C138" s="319" t="str">
        <f>VLOOKUP(B1,Rilevazione!B30:AF41,3,0)</f>
        <v>B=</v>
      </c>
      <c r="D138" s="319" t="str">
        <f>VLOOKUP(B1,Rilevazione!B30:AF41,4,0)</f>
        <v>A+</v>
      </c>
      <c r="E138" s="319" t="str">
        <f>VLOOKUP(B1,Rilevazione!B30:AF41,5,0)</f>
        <v>A#</v>
      </c>
      <c r="F138" s="319" t="str">
        <f>VLOOKUP(B1,Rilevazione!B30:AF41,6,0)</f>
        <v>B+</v>
      </c>
      <c r="G138" s="319" t="str">
        <f>VLOOKUP(B1,Rilevazione!B30:AF41,7,0)</f>
        <v>B+</v>
      </c>
      <c r="H138" s="319" t="str">
        <f>VLOOKUP(B1,Rilevazione!B30:AF41,8,0)</f>
        <v>M+</v>
      </c>
      <c r="I138" s="319" t="str">
        <f>VLOOKUP(B1,Rilevazione!B30:AF41,9,0)</f>
        <v>A+</v>
      </c>
      <c r="J138" s="319" t="str">
        <f>VLOOKUP(B1,Rilevazione!B30:AF41,10,0)</f>
        <v>A+</v>
      </c>
      <c r="K138" s="319" t="str">
        <f>VLOOKUP(B1,Rilevazione!B30:AF41,11,0)</f>
        <v>M!</v>
      </c>
      <c r="L138" s="319" t="str">
        <f>VLOOKUP(B1,Rilevazione!B30:AF41,12,0)</f>
        <v>B+</v>
      </c>
      <c r="M138" s="319" t="str">
        <f>VLOOKUP(B1,Rilevazione!B30:AF41,13,0)</f>
        <v>A#</v>
      </c>
      <c r="N138" s="319" t="str">
        <f>VLOOKUP(B1,Rilevazione!B30:AF41,14,0)</f>
        <v>R+</v>
      </c>
      <c r="O138" s="319" t="str">
        <f>VLOOKUP(B1,Rilevazione!B30:AF41,15,0)</f>
        <v>R!</v>
      </c>
      <c r="P138" s="319" t="str">
        <f>VLOOKUP(B1,Rilevazione!B30:AF41,16,0)</f>
        <v>R!</v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Atleti!B4</f>
        <v>1</v>
      </c>
      <c r="C1" s="332" t="str">
        <f>Atleti!D4</f>
        <v>Irene Grandi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1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1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3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5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1</v>
      </c>
      <c r="L12" s="218"/>
      <c r="M12" s="252"/>
      <c r="N12" s="255">
        <f>COUNTIF(B136:AG136,N11)</f>
        <v>0</v>
      </c>
      <c r="O12" s="255">
        <f>COUNTIF(B136:AG136,O11)</f>
        <v>1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1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1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1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1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1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0.75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0.6666666667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4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3</v>
      </c>
      <c r="O19" s="255">
        <f>COUNTIF(B136:AG136,O18)</f>
        <v>1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4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4</v>
      </c>
      <c r="C20" s="255">
        <f>COUNTIF(B136:AG140,C19)</f>
        <v>1</v>
      </c>
      <c r="D20" s="255">
        <f>COUNTIF(B136:AG140,D19)</f>
        <v>0</v>
      </c>
      <c r="E20" s="255">
        <f>COUNTIF(B136:AG140,E19)</f>
        <v>1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6</v>
      </c>
      <c r="J20" s="218"/>
      <c r="K20" s="218"/>
      <c r="L20" s="218"/>
      <c r="M20" s="252"/>
      <c r="N20" s="262">
        <f>IF(T19&gt;0,N19/T19,0)</f>
        <v>0.75</v>
      </c>
      <c r="O20" s="262">
        <f>IF(T19&gt;0,O19/T19,0)</f>
        <v>0.25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0.6666666667</v>
      </c>
      <c r="C21" s="262">
        <f>IF(H20&gt;0,C20/H20,0)</f>
        <v>0.1666666667</v>
      </c>
      <c r="D21" s="262">
        <f>IF(H20&gt;0,D20/H20,0)</f>
        <v>0</v>
      </c>
      <c r="E21" s="262">
        <f>IF(H20&gt;0,E20/H20,0)</f>
        <v>0.1666666667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0.75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0.6666666667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1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45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1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18"/>
      <c r="AN31" s="334" t="s">
        <v>114</v>
      </c>
      <c r="AO31" s="334" t="s">
        <v>115</v>
      </c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2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34" t="s">
        <v>79</v>
      </c>
      <c r="AN32" s="235">
        <f>B13</f>
        <v>0</v>
      </c>
      <c r="AO32" s="236">
        <f>G13</f>
        <v>0</v>
      </c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34" t="s">
        <v>81</v>
      </c>
      <c r="AN33" s="235">
        <f>B20</f>
        <v>4</v>
      </c>
      <c r="AO33" s="236">
        <f>G20</f>
        <v>0</v>
      </c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18"/>
      <c r="AM34" s="234" t="s">
        <v>82</v>
      </c>
      <c r="AN34" s="235">
        <f t="shared" ref="AN34:AO34" si="21">J6</f>
        <v>1</v>
      </c>
      <c r="AO34" s="236">
        <f t="shared" si="21"/>
        <v>0</v>
      </c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5" t="s">
        <v>117</v>
      </c>
      <c r="AN35" s="233"/>
      <c r="AO35" s="235">
        <f>K8</f>
        <v>1</v>
      </c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0.5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34"/>
      <c r="AN36" s="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18"/>
      <c r="AN37" s="18"/>
      <c r="AO37" s="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335" t="s">
        <v>116</v>
      </c>
      <c r="AN38" s="12"/>
      <c r="AO38" s="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49">
        <f>K17</f>
        <v>4</v>
      </c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1</v>
      </c>
      <c r="C41" s="255">
        <f>COUNTIF(B137:AG137,C40)</f>
        <v>0</v>
      </c>
      <c r="D41" s="255">
        <f>COUNTIF(B137:AG137,D40)</f>
        <v>0</v>
      </c>
      <c r="E41" s="255">
        <f>COUNTIF(B137:AG137,E40)</f>
        <v>1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2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0.5</v>
      </c>
      <c r="C42" s="262">
        <f>IF(H41&gt;0,C41/H41,0)</f>
        <v>0</v>
      </c>
      <c r="D42" s="262">
        <f>IF(H41&gt;0,D41/H41,0)</f>
        <v>0</v>
      </c>
      <c r="E42" s="262">
        <f>IF(H41&gt;0,E41/H41,0)</f>
        <v>0.5</v>
      </c>
      <c r="F42" s="262">
        <f>IF(H41&gt;0,F41/H41,0)</f>
        <v>0</v>
      </c>
      <c r="G42" s="262">
        <f>IF(H41&gt;0,G41/H41,0)</f>
        <v>0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0.5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1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A#</v>
      </c>
      <c r="C136" s="319" t="str">
        <f>VLOOKUP(B1,Rilevazione!B2:AF13,3,0)</f>
        <v>M-</v>
      </c>
      <c r="D136" s="319" t="str">
        <f>VLOOKUP(B1,Rilevazione!B2:AF13,4,0)</f>
        <v>B+</v>
      </c>
      <c r="E136" s="319" t="str">
        <f>VLOOKUP(B1,Rilevazione!B2:AF13,5,0)</f>
        <v>A+</v>
      </c>
      <c r="F136" s="319" t="str">
        <f>VLOOKUP(B1,Rilevazione!B2:AF13,6,0)</f>
        <v>A#</v>
      </c>
      <c r="G136" s="319" t="str">
        <f>VLOOKUP(B1,Rilevazione!B2:AF13,7,0)</f>
        <v>A#</v>
      </c>
      <c r="H136" s="319" t="str">
        <f>VLOOKUP(B1,Rilevazione!B2:AF13,8,0)</f>
        <v>P=</v>
      </c>
      <c r="I136" s="319" t="str">
        <f>VLOOKUP(B1,Rilevazione!B2:AF13,9,0)</f>
        <v/>
      </c>
      <c r="J136" s="319" t="str">
        <f>VLOOKUP(B1,Rilevazione!B2:AF13,10,0)</f>
        <v/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M+</v>
      </c>
      <c r="C137" s="319" t="str">
        <f>VLOOKUP(B1,Rilevazione!B16:AF27,3,0)</f>
        <v>M!</v>
      </c>
      <c r="D137" s="319" t="str">
        <f>VLOOKUP(B1,Rilevazione!B16:AF27,4,0)</f>
        <v>A-</v>
      </c>
      <c r="E137" s="319" t="str">
        <f>VLOOKUP(B1,Rilevazione!B16:AF27,5,0)</f>
        <v>A#</v>
      </c>
      <c r="F137" s="319" t="str">
        <f>VLOOKUP(B1,Rilevazione!B16:AF27,6,0)</f>
        <v>M#</v>
      </c>
      <c r="G137" s="319" t="str">
        <f>VLOOKUP(B1,Rilevazione!B16:AF27,7,0)</f>
        <v/>
      </c>
      <c r="H137" s="319" t="str">
        <f>VLOOKUP(B1,Rilevazione!B16:AF27,8,0)</f>
        <v/>
      </c>
      <c r="I137" s="319" t="str">
        <f>VLOOKUP(B1,Rilevazione!B16:AF27,9,0)</f>
        <v/>
      </c>
      <c r="J137" s="319" t="str">
        <f>VLOOKUP(B1,Rilevazione!B16:AF27,10,0)</f>
        <v/>
      </c>
      <c r="K137" s="319" t="str">
        <f>VLOOKUP(B1,Rilevazione!B16:AF27,11,0)</f>
        <v/>
      </c>
      <c r="L137" s="319" t="str">
        <f>VLOOKUP(B1,Rilevazione!B16:AF27,12,0)</f>
        <v/>
      </c>
      <c r="M137" s="319" t="str">
        <f>VLOOKUP(B1,Rilevazione!B16:AF27,13,0)</f>
        <v/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Atleti!B5</f>
        <v>13</v>
      </c>
      <c r="C1" s="332" t="str">
        <f>Atleti!D5</f>
        <v>Giorgia Trodani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0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0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0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0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0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45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0</v>
      </c>
      <c r="C20" s="255">
        <f>COUNTIF(B136:AG140,C19)</f>
        <v>0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0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</v>
      </c>
      <c r="C21" s="262">
        <f>IF(H20&gt;0,C20/H20,0)</f>
        <v>0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0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0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0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37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Atleti!B6</f>
        <v>10</v>
      </c>
      <c r="C1" s="332" t="str">
        <f>Atleti!D6</f>
        <v>Emma Marrone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1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1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1</v>
      </c>
      <c r="C6" s="255">
        <f>COUNTIF(B136:AG140,C5)</f>
        <v>0</v>
      </c>
      <c r="D6" s="256">
        <f>COUNTIF(B136:AG140,D5)</f>
        <v>0</v>
      </c>
      <c r="E6" s="257">
        <f>COUNTIF(B136:AG140,E5)</f>
        <v>1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2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1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1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0.5</v>
      </c>
      <c r="C7" s="262">
        <f>IF(H6&gt;0,C6/H6,0)</f>
        <v>0</v>
      </c>
      <c r="D7" s="262">
        <f>IF(H6&gt;0,D6/H6,0)</f>
        <v>0</v>
      </c>
      <c r="E7" s="263">
        <f>IF(H6&gt;0,E6/H6,0)</f>
        <v>0.5</v>
      </c>
      <c r="F7" s="262">
        <f>IF(F6&gt;0,F6/H6,0)</f>
        <v>0</v>
      </c>
      <c r="G7" s="262">
        <f>IF(G6&gt;0,G6/H6,0)</f>
        <v>0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1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0.5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1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0.5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3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3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1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1</v>
      </c>
      <c r="L12" s="218"/>
      <c r="M12" s="252"/>
      <c r="N12" s="255">
        <f>COUNTIF(B136:AG136,N11)</f>
        <v>2</v>
      </c>
      <c r="O12" s="255">
        <f>COUNTIF(B136:AG136,O11)</f>
        <v>1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3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2</v>
      </c>
      <c r="C13" s="255">
        <f>COUNTIF(B136:AG140,C12)</f>
        <v>0</v>
      </c>
      <c r="D13" s="255">
        <f t="shared" ref="D13:E13" si="6">COUNTIF(B136:AG140,D12)</f>
        <v>1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3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0.6666666667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0.6666666667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0.6666666667</v>
      </c>
      <c r="C14" s="262">
        <f>IF(H13&gt;0,C13/H13,0)</f>
        <v>0</v>
      </c>
      <c r="D14" s="262">
        <f t="shared" ref="D14:E14" si="9">IF(H13&gt;0,D13/H13,0)</f>
        <v>0.3333333333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0.6666666667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1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0.6666666667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0.5</v>
      </c>
      <c r="L15" s="218"/>
      <c r="M15" s="243" t="s">
        <v>120</v>
      </c>
      <c r="N15" s="271">
        <f>IF(T12&gt;0,(N12+O12)/T12,0)</f>
        <v>1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0.6666666667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2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1</v>
      </c>
      <c r="O19" s="255">
        <f>COUNTIF(B136:AG136,O18)</f>
        <v>0</v>
      </c>
      <c r="P19" s="255">
        <f>COUNTIF(B136:AG136,P18)</f>
        <v>0</v>
      </c>
      <c r="Q19" s="255">
        <f>COUNTIF(B136:AG136,Q18)</f>
        <v>1</v>
      </c>
      <c r="R19" s="255">
        <f>COUNTIF(B136:AG136,R18)</f>
        <v>0</v>
      </c>
      <c r="S19" s="255">
        <f>COUNTIF(B136:AG136,S18)</f>
        <v>1</v>
      </c>
      <c r="T19" s="255">
        <f t="shared" ref="T19:T20" si="11">SUM(N19:S19)</f>
        <v>3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1</v>
      </c>
      <c r="C20" s="255">
        <f>COUNTIF(B136:AG140,C19)</f>
        <v>0</v>
      </c>
      <c r="D20" s="255">
        <f>COUNTIF(B136:AG140,D19)</f>
        <v>0</v>
      </c>
      <c r="E20" s="255">
        <f>COUNTIF(B136:AG140,E19)</f>
        <v>1</v>
      </c>
      <c r="F20" s="255">
        <f>COUNTIF(B136:AG140,F19)</f>
        <v>0</v>
      </c>
      <c r="G20" s="255">
        <f>COUNTIF(B136:AG140,G19)</f>
        <v>1</v>
      </c>
      <c r="H20" s="255">
        <f t="shared" ref="H20:H21" si="12">SUM(B20:G20)</f>
        <v>3</v>
      </c>
      <c r="J20" s="218"/>
      <c r="K20" s="218"/>
      <c r="L20" s="218"/>
      <c r="M20" s="252"/>
      <c r="N20" s="262">
        <f>IF(T19&gt;0,N19/T19,0)</f>
        <v>0.3333333333</v>
      </c>
      <c r="O20" s="262">
        <f>IF(T19&gt;0,O19/T19,0)</f>
        <v>0</v>
      </c>
      <c r="P20" s="262">
        <f>IF(T19&gt;0,P19/T19,0)</f>
        <v>0</v>
      </c>
      <c r="Q20" s="262">
        <f>IF(T19&gt;0,Q19/T19,0)</f>
        <v>0.3333333333</v>
      </c>
      <c r="R20" s="262">
        <f>IF(T19&gt;0,R19/T19,0)</f>
        <v>0</v>
      </c>
      <c r="S20" s="262">
        <f>IF(T19&gt;0,S19/T19,0)</f>
        <v>0.3333333333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0.3333333333</v>
      </c>
      <c r="C21" s="262">
        <f>IF(H20&gt;0,C20/H20,0)</f>
        <v>0</v>
      </c>
      <c r="D21" s="262">
        <f>IF(H20&gt;0,D20/H20,0)</f>
        <v>0</v>
      </c>
      <c r="E21" s="262">
        <f>IF(H20&gt;0,E20/H20,0)</f>
        <v>0.3333333333</v>
      </c>
      <c r="F21" s="262">
        <f>IF(H20&gt;0,F20/H20,0)</f>
        <v>0</v>
      </c>
      <c r="G21" s="262">
        <f>IF(H20&gt;0,G20/H20,0)</f>
        <v>0.3333333333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0.6666666667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0.6666666667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2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1</v>
      </c>
      <c r="AN33" s="236">
        <f>G20</f>
        <v>1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2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R-</v>
      </c>
      <c r="C136" s="319" t="str">
        <f>VLOOKUP(B1,Rilevazione!B2:AF13,3,0)</f>
        <v>A#</v>
      </c>
      <c r="D136" s="319" t="str">
        <f>VLOOKUP(B1,Rilevazione!B2:AF13,4,0)</f>
        <v>A=</v>
      </c>
      <c r="E136" s="319" t="str">
        <f>VLOOKUP(B1,Rilevazione!B2:AF13,5,0)</f>
        <v>B#</v>
      </c>
      <c r="F136" s="319" t="str">
        <f>VLOOKUP(B1,Rilevazione!B2:AF13,6,0)</f>
        <v>B#</v>
      </c>
      <c r="G136" s="319" t="str">
        <f>VLOOKUP(B1,Rilevazione!B2:AF13,7,0)</f>
        <v>B+</v>
      </c>
      <c r="H136" s="319" t="str">
        <f>VLOOKUP(B1,Rilevazione!B2:AF13,8,0)</f>
        <v>A-</v>
      </c>
      <c r="I136" s="319" t="str">
        <f>VLOOKUP(B1,Rilevazione!B2:AF13,9,0)</f>
        <v>M!</v>
      </c>
      <c r="J136" s="319" t="str">
        <f>VLOOKUP(B1,Rilevazione!B2:AF13,10,0)</f>
        <v>R#</v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37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Atleti!B7</f>
        <v>11</v>
      </c>
      <c r="C1" s="332" t="str">
        <f>Atleti!D7</f>
        <v>Lorendana Bertè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0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0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0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0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0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0</v>
      </c>
      <c r="C20" s="255">
        <f>COUNTIF(B136:AG140,C19)</f>
        <v>0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0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</v>
      </c>
      <c r="C21" s="262">
        <f>IF(H20&gt;0,C20/H20,0)</f>
        <v>0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0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0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0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19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Atleti!B8</f>
        <v>9</v>
      </c>
      <c r="C1" s="332" t="str">
        <f>Atleti!D8</f>
        <v>Elodie Patrizi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1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5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3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3</v>
      </c>
      <c r="C13" s="255">
        <f>COUNTIF(B136:AG140,C12)</f>
        <v>0</v>
      </c>
      <c r="D13" s="255">
        <f t="shared" ref="D13:E13" si="6">COUNTIF(B136:AG140,D12)</f>
        <v>6</v>
      </c>
      <c r="E13" s="255">
        <f t="shared" si="6"/>
        <v>0</v>
      </c>
      <c r="F13" s="255">
        <f>COUNTIF(B136:AG140,F12)</f>
        <v>0</v>
      </c>
      <c r="G13" s="255">
        <f>COUNTIF(B136:AG140,G12)</f>
        <v>3</v>
      </c>
      <c r="H13" s="255">
        <f t="shared" ref="H13:H14" si="10">SUM(B13:G13)</f>
        <v>12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0.25</v>
      </c>
      <c r="C14" s="262">
        <f>IF(H13&gt;0,C13/H13,0)</f>
        <v>0</v>
      </c>
      <c r="D14" s="262">
        <f t="shared" ref="D14:E14" si="9">IF(H13&gt;0,D13/H13,0)</f>
        <v>0.5</v>
      </c>
      <c r="E14" s="262">
        <f t="shared" si="9"/>
        <v>0</v>
      </c>
      <c r="F14" s="262">
        <f>IF(H13&gt;0,F13/H13,0)</f>
        <v>0</v>
      </c>
      <c r="G14" s="262">
        <f>IF(H13&gt;0,G13/H13,0)</f>
        <v>0.25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0.25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0.3333333333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2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1</v>
      </c>
      <c r="C20" s="255">
        <f>COUNTIF(B136:AG140,C19)</f>
        <v>2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3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0.3333333333</v>
      </c>
      <c r="C21" s="262">
        <f>IF(H20&gt;0,C20/H20,0)</f>
        <v>0.6666666667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0.3333333333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1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4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1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3</v>
      </c>
      <c r="AN32" s="236">
        <f>G13</f>
        <v>3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2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1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1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3</v>
      </c>
      <c r="C34" s="255">
        <f>COUNTIF(B137:AG137,C33)</f>
        <v>2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2</v>
      </c>
      <c r="H34" s="255">
        <f t="shared" ref="H34:H35" si="23">SUM(B34:G34)</f>
        <v>7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4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1</v>
      </c>
      <c r="T34" s="255">
        <f>SUM(N34:S34)</f>
        <v>5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1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0.4285714286</v>
      </c>
      <c r="C35" s="262">
        <f t="shared" si="22"/>
        <v>0.2857142857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0.2857142857</v>
      </c>
      <c r="H35" s="262">
        <f t="shared" si="23"/>
        <v>1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0.1428571429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-0.2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0.5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0.7142857143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0.8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2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1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1</v>
      </c>
      <c r="J41" s="218"/>
      <c r="K41" s="218"/>
      <c r="L41" s="218"/>
      <c r="M41" s="252"/>
      <c r="N41" s="255">
        <f>COUNTIF(B138:AG138,N40)</f>
        <v>1</v>
      </c>
      <c r="O41" s="255">
        <f>COUNTIF(B138:AG138,O40)</f>
        <v>1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2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1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0.5</v>
      </c>
      <c r="O42" s="262">
        <f>IF(T41&gt;0,O41/T41,0)</f>
        <v>0.5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0.5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1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1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B+</v>
      </c>
      <c r="C137" s="319" t="str">
        <f>VLOOKUP(B1,Rilevazione!B16:AF27,3,0)</f>
        <v>B=</v>
      </c>
      <c r="D137" s="319" t="str">
        <f>VLOOKUP(B1,Rilevazione!B16:AF27,4,0)</f>
        <v>M+</v>
      </c>
      <c r="E137" s="319" t="str">
        <f>VLOOKUP(B1,Rilevazione!B16:AF27,5,0)</f>
        <v>M#</v>
      </c>
      <c r="F137" s="319" t="str">
        <f>VLOOKUP(B1,Rilevazione!B16:AF27,6,0)</f>
        <v>A+</v>
      </c>
      <c r="G137" s="319" t="str">
        <f>VLOOKUP(B1,Rilevazione!B16:AF27,7,0)</f>
        <v>B+</v>
      </c>
      <c r="H137" s="319" t="str">
        <f>VLOOKUP(B1,Rilevazione!B16:AF27,8,0)</f>
        <v>B#</v>
      </c>
      <c r="I137" s="319" t="str">
        <f>VLOOKUP(B1,Rilevazione!B16:AF27,9,0)</f>
        <v>B#</v>
      </c>
      <c r="J137" s="319" t="str">
        <f>VLOOKUP(B1,Rilevazione!B16:AF27,10,0)</f>
        <v>B#</v>
      </c>
      <c r="K137" s="319" t="str">
        <f>VLOOKUP(B1,Rilevazione!B16:AF27,11,0)</f>
        <v>B=</v>
      </c>
      <c r="L137" s="319" t="str">
        <f>VLOOKUP(B1,Rilevazione!B16:AF27,12,0)</f>
        <v/>
      </c>
      <c r="M137" s="319" t="str">
        <f>VLOOKUP(B1,Rilevazione!B16:AF27,13,0)</f>
        <v/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A+</v>
      </c>
      <c r="C138" s="319" t="str">
        <f>VLOOKUP(B1,Rilevazione!B30:AF41,3,0)</f>
        <v>A#</v>
      </c>
      <c r="D138" s="319" t="str">
        <f>VLOOKUP(B1,Rilevazione!B30:AF41,4,0)</f>
        <v>B+</v>
      </c>
      <c r="E138" s="319" t="str">
        <f>VLOOKUP(B1,Rilevazione!B30:AF41,5,0)</f>
        <v>B+</v>
      </c>
      <c r="F138" s="319" t="str">
        <f>VLOOKUP(B1,Rilevazione!B30:AF41,6,0)</f>
        <v>B=</v>
      </c>
      <c r="G138" s="319" t="str">
        <f>VLOOKUP(B1,Rilevazione!B30:AF41,7,0)</f>
        <v>B+</v>
      </c>
      <c r="H138" s="319" t="str">
        <f>VLOOKUP(B1,Rilevazione!B30:AF41,8,0)</f>
        <v>B+</v>
      </c>
      <c r="I138" s="319" t="str">
        <f>VLOOKUP(B1,Rilevazione!B30:AF41,9,0)</f>
        <v/>
      </c>
      <c r="J138" s="319" t="str">
        <f>VLOOKUP(B1,Rilevazione!B30:AF41,10,0)</f>
        <v/>
      </c>
      <c r="K138" s="319" t="str">
        <f>VLOOKUP(B1,Rilevazione!B30:AF41,11,0)</f>
        <v/>
      </c>
      <c r="L138" s="319" t="str">
        <f>VLOOKUP(B1,Rilevazione!B30:AF41,12,0)</f>
        <v/>
      </c>
      <c r="M138" s="319" t="str">
        <f>VLOOKUP(B1,Rilevazione!B30:AF41,13,0)</f>
        <v/>
      </c>
      <c r="N138" s="319" t="str">
        <f>VLOOKUP(B1,Rilevazione!B30:AF41,14,0)</f>
        <v/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Atleti!B9</f>
        <v>5</v>
      </c>
      <c r="C1" s="332" t="str">
        <f>Atleti!D9</f>
        <v>Laura Pausini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1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2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2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5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2</v>
      </c>
      <c r="L12" s="218"/>
      <c r="M12" s="252"/>
      <c r="N12" s="255">
        <f>COUNTIF(B136:AG136,N11)</f>
        <v>1</v>
      </c>
      <c r="O12" s="255">
        <f>COUNTIF(B136:AG136,O11)</f>
        <v>2</v>
      </c>
      <c r="P12" s="255">
        <f t="shared" ref="P12:Q12" si="5">COUNTIF(B136:AG136,P11)</f>
        <v>0</v>
      </c>
      <c r="Q12" s="255">
        <f t="shared" si="5"/>
        <v>2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5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2</v>
      </c>
      <c r="C13" s="255">
        <f>COUNTIF(B136:AG140,C12)</f>
        <v>0</v>
      </c>
      <c r="D13" s="255">
        <f t="shared" ref="D13:E13" si="6">COUNTIF(B136:AG140,D12)</f>
        <v>7</v>
      </c>
      <c r="E13" s="255">
        <f t="shared" si="6"/>
        <v>0</v>
      </c>
      <c r="F13" s="255">
        <f>COUNTIF(B136:AG140,F12)</f>
        <v>4</v>
      </c>
      <c r="G13" s="255">
        <f>COUNTIF(B136:AG140,G12)</f>
        <v>2</v>
      </c>
      <c r="H13" s="255">
        <f t="shared" ref="H13:H14" si="10">SUM(B13:G13)</f>
        <v>15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0.2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0.2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0.1333333333</v>
      </c>
      <c r="C14" s="262">
        <f>IF(H13&gt;0,C13/H13,0)</f>
        <v>0</v>
      </c>
      <c r="D14" s="262">
        <f t="shared" ref="D14:E14" si="9">IF(H13&gt;0,D13/H13,0)</f>
        <v>0.4666666667</v>
      </c>
      <c r="E14" s="262">
        <f t="shared" si="9"/>
        <v>0</v>
      </c>
      <c r="F14" s="262">
        <f>IF(H13&gt;0,F13/H13,0)</f>
        <v>0.2666666667</v>
      </c>
      <c r="G14" s="262">
        <f>IF(H13&gt;0,G13/H13,0)</f>
        <v>0.1333333333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0.2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0.6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0.1333333333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0.5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3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1</v>
      </c>
      <c r="C20" s="255">
        <f>COUNTIF(B136:AG140,C19)</f>
        <v>1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2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0.5</v>
      </c>
      <c r="C21" s="262">
        <f>IF(H20&gt;0,C20/H20,0)</f>
        <v>0.5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0.5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1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2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1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2</v>
      </c>
      <c r="AN32" s="236">
        <f>G13</f>
        <v>2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2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1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1</v>
      </c>
      <c r="C34" s="255">
        <f>COUNTIF(B137:AG137,C33)</f>
        <v>5</v>
      </c>
      <c r="D34" s="255">
        <f>COUNTIF(B137:AG137,D33)</f>
        <v>0</v>
      </c>
      <c r="E34" s="255">
        <f t="shared" ref="E34:F34" si="19">COUNTIF(B137:AG137,E33)</f>
        <v>1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7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1</v>
      </c>
      <c r="R34" s="255">
        <f>COUNTIF(B138:AG138,R33)</f>
        <v>0</v>
      </c>
      <c r="S34" s="255">
        <f>COUNTIF(B138:AG138,S33)</f>
        <v>2</v>
      </c>
      <c r="T34" s="255">
        <f>SUM(N34:S34)</f>
        <v>3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2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0.1428571429</v>
      </c>
      <c r="C35" s="262">
        <f t="shared" si="22"/>
        <v>0.7142857143</v>
      </c>
      <c r="D35" s="262">
        <f t="shared" si="22"/>
        <v>0</v>
      </c>
      <c r="E35" s="262">
        <f t="shared" si="22"/>
        <v>0.1428571429</v>
      </c>
      <c r="F35" s="262">
        <f t="shared" si="22"/>
        <v>0</v>
      </c>
      <c r="G35" s="262">
        <f t="shared" si="22"/>
        <v>0</v>
      </c>
      <c r="H35" s="262">
        <f t="shared" si="23"/>
        <v>1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0.1428571429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-0.6666666667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1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0.8571428571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3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1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1</v>
      </c>
      <c r="J41" s="218"/>
      <c r="K41" s="218"/>
      <c r="L41" s="218"/>
      <c r="M41" s="252"/>
      <c r="N41" s="255">
        <f>COUNTIF(B138:AG138,N40)</f>
        <v>1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1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1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1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1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1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1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M!</v>
      </c>
      <c r="C136" s="319" t="str">
        <f>VLOOKUP(B1,Rilevazione!B2:AF13,3,0)</f>
        <v>M+</v>
      </c>
      <c r="D136" s="319" t="str">
        <f>VLOOKUP(B1,Rilevazione!B2:AF13,4,0)</f>
        <v>B-</v>
      </c>
      <c r="E136" s="319" t="str">
        <f>VLOOKUP(B1,Rilevazione!B2:AF13,5,0)</f>
        <v>M+</v>
      </c>
      <c r="F136" s="319" t="str">
        <f>VLOOKUP(B1,Rilevazione!B2:AF13,6,0)</f>
        <v>M#</v>
      </c>
      <c r="G136" s="319" t="str">
        <f>VLOOKUP(B1,Rilevazione!B2:AF13,7,0)</f>
        <v>B+</v>
      </c>
      <c r="H136" s="319" t="str">
        <f>VLOOKUP(B1,Rilevazione!B2:AF13,8,0)</f>
        <v>B#</v>
      </c>
      <c r="I136" s="319" t="str">
        <f>VLOOKUP(B1,Rilevazione!B2:AF13,9,0)</f>
        <v>B+</v>
      </c>
      <c r="J136" s="319" t="str">
        <f>VLOOKUP(B1,Rilevazione!B2:AF13,10,0)</f>
        <v>B-</v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A+</v>
      </c>
      <c r="C137" s="319" t="str">
        <f>VLOOKUP(B1,Rilevazione!B16:AF27,3,0)</f>
        <v>B+</v>
      </c>
      <c r="D137" s="319" t="str">
        <f>VLOOKUP(B1,Rilevazione!B16:AF27,4,0)</f>
        <v>B+</v>
      </c>
      <c r="E137" s="319" t="str">
        <f>VLOOKUP(B1,Rilevazione!B16:AF27,5,0)</f>
        <v>B#</v>
      </c>
      <c r="F137" s="319" t="str">
        <f>VLOOKUP(B1,Rilevazione!B16:AF27,6,0)</f>
        <v>B-</v>
      </c>
      <c r="G137" s="319" t="str">
        <f>VLOOKUP(B1,Rilevazione!B16:AF27,7,0)</f>
        <v>M!</v>
      </c>
      <c r="H137" s="319" t="str">
        <f>VLOOKUP(B1,Rilevazione!B16:AF27,8,0)</f>
        <v>M+</v>
      </c>
      <c r="I137" s="319" t="str">
        <f>VLOOKUP(B1,Rilevazione!B16:AF27,9,0)</f>
        <v>M+</v>
      </c>
      <c r="J137" s="319" t="str">
        <f>VLOOKUP(B1,Rilevazione!B16:AF27,10,0)</f>
        <v>M#</v>
      </c>
      <c r="K137" s="319" t="str">
        <f>VLOOKUP(B1,Rilevazione!B16:AF27,11,0)</f>
        <v>B+</v>
      </c>
      <c r="L137" s="319" t="str">
        <f>VLOOKUP(B1,Rilevazione!B16:AF27,12,0)</f>
        <v>B+</v>
      </c>
      <c r="M137" s="319" t="str">
        <f>VLOOKUP(B1,Rilevazione!B16:AF27,13,0)</f>
        <v>B+</v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M!</v>
      </c>
      <c r="C138" s="319" t="str">
        <f>VLOOKUP(B1,Rilevazione!B30:AF41,3,0)</f>
        <v>B=</v>
      </c>
      <c r="D138" s="319" t="str">
        <f>VLOOKUP(B1,Rilevazione!B30:AF41,4,0)</f>
        <v>M-</v>
      </c>
      <c r="E138" s="319" t="str">
        <f>VLOOKUP(B1,Rilevazione!B30:AF41,5,0)</f>
        <v>M!</v>
      </c>
      <c r="F138" s="319" t="str">
        <f>VLOOKUP(B1,Rilevazione!B30:AF41,6,0)</f>
        <v>B=</v>
      </c>
      <c r="G138" s="319" t="str">
        <f>VLOOKUP(B1,Rilevazione!B30:AF41,7,0)</f>
        <v>M-</v>
      </c>
      <c r="H138" s="319" t="str">
        <f>VLOOKUP(B1,Rilevazione!B30:AF41,8,0)</f>
        <v>M+</v>
      </c>
      <c r="I138" s="319" t="str">
        <f>VLOOKUP(B1,Rilevazione!B30:AF41,9,0)</f>
        <v>B-</v>
      </c>
      <c r="J138" s="319" t="str">
        <f>VLOOKUP(B1,Rilevazione!B30:AF41,10,0)</f>
        <v>A#</v>
      </c>
      <c r="K138" s="319" t="str">
        <f>VLOOKUP(B1,Rilevazione!B30:AF41,11,0)</f>
        <v/>
      </c>
      <c r="L138" s="319" t="str">
        <f>VLOOKUP(B1,Rilevazione!B30:AF41,12,0)</f>
        <v/>
      </c>
      <c r="M138" s="319" t="str">
        <f>VLOOKUP(B1,Rilevazione!B30:AF41,13,0)</f>
        <v/>
      </c>
      <c r="N138" s="319" t="str">
        <f>VLOOKUP(B1,Rilevazione!B30:AF41,14,0)</f>
        <v/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Atleti!B10</f>
        <v>18</v>
      </c>
      <c r="C1" s="332" t="str">
        <f>Atleti!D10</f>
        <v>Annalisa Scarrone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0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0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0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0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0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0</v>
      </c>
      <c r="C20" s="255">
        <f>COUNTIF(B136:AG140,C19)</f>
        <v>0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0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</v>
      </c>
      <c r="C21" s="262">
        <f>IF(H20&gt;0,C20/H20,0)</f>
        <v>0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0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18"/>
      <c r="AM30" s="334" t="s">
        <v>114</v>
      </c>
      <c r="AN30" s="334" t="s">
        <v>115</v>
      </c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34" t="s">
        <v>79</v>
      </c>
      <c r="AM31" s="235">
        <f>B13</f>
        <v>0</v>
      </c>
      <c r="AN31" s="236">
        <f>G13</f>
        <v>0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81</v>
      </c>
      <c r="AM32" s="235">
        <f>B20</f>
        <v>0</v>
      </c>
      <c r="AN32" s="236">
        <f>G20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82</v>
      </c>
      <c r="AM33" s="235">
        <f t="shared" ref="AM33:AN33" si="19">W5</f>
        <v>0</v>
      </c>
      <c r="AN33" s="236">
        <f t="shared" si="19"/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20">COUNTIF(B137:AG137,E33)</f>
        <v>0</v>
      </c>
      <c r="F34" s="255">
        <f t="shared" si="20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1">COUNTIF(B138:AG138,O33)</f>
        <v>0</v>
      </c>
      <c r="P34" s="255">
        <f t="shared" si="21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5" t="s">
        <v>117</v>
      </c>
      <c r="AM34" s="233"/>
      <c r="AN34" s="235">
        <f>K8</f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34"/>
      <c r="AM35" s="18"/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18"/>
      <c r="AM36" s="18"/>
      <c r="AN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335" t="s">
        <v>116</v>
      </c>
      <c r="AM37" s="12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49">
        <f>K17</f>
        <v>0</v>
      </c>
      <c r="AM38" s="218"/>
      <c r="AN38" s="2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37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Atleti!B11</f>
        <v>22</v>
      </c>
      <c r="C1" s="332" t="str">
        <f>Atleti!D11</f>
        <v>Sara Sorrenti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7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3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3</v>
      </c>
      <c r="E13" s="255">
        <f t="shared" si="6"/>
        <v>0</v>
      </c>
      <c r="F13" s="255">
        <f>COUNTIF(B136:AG140,F12)</f>
        <v>1</v>
      </c>
      <c r="G13" s="255">
        <f>COUNTIF(B136:AG140,G12)</f>
        <v>1</v>
      </c>
      <c r="H13" s="255">
        <f t="shared" ref="H13:H14" si="10">SUM(B13:G13)</f>
        <v>5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0.6</v>
      </c>
      <c r="E14" s="262">
        <f t="shared" si="9"/>
        <v>0</v>
      </c>
      <c r="F14" s="262">
        <f>IF(H13&gt;0,F13/H13,0)</f>
        <v>0.2</v>
      </c>
      <c r="G14" s="262">
        <f>IF(H13&gt;0,G13/H13,0)</f>
        <v>0.2</v>
      </c>
      <c r="H14" s="262">
        <f t="shared" si="10"/>
        <v>1</v>
      </c>
      <c r="J14" s="260" t="s">
        <v>133</v>
      </c>
      <c r="K14" s="261">
        <f>F20</f>
        <v>2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-0.2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0.2380952381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4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7</v>
      </c>
      <c r="C20" s="255">
        <f>COUNTIF(B136:AG140,C19)</f>
        <v>8</v>
      </c>
      <c r="D20" s="255">
        <f>COUNTIF(B136:AG140,D19)</f>
        <v>1</v>
      </c>
      <c r="E20" s="255">
        <f>COUNTIF(B136:AG140,E19)</f>
        <v>1</v>
      </c>
      <c r="F20" s="255">
        <f>COUNTIF(B136:AG140,F19)</f>
        <v>2</v>
      </c>
      <c r="G20" s="255">
        <f>COUNTIF(B136:AG140,G19)</f>
        <v>2</v>
      </c>
      <c r="H20" s="255">
        <f t="shared" ref="H20:H21" si="12">SUM(B20:G20)</f>
        <v>21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0.3333333333</v>
      </c>
      <c r="C21" s="262">
        <f>IF(H20&gt;0,C20/H20,0)</f>
        <v>0.380952381</v>
      </c>
      <c r="D21" s="262">
        <f>IF(H20&gt;0,D20/H20,0)</f>
        <v>0.04761904762</v>
      </c>
      <c r="E21" s="262">
        <f>IF(H20&gt;0,E20/H20,0)</f>
        <v>0.04761904762</v>
      </c>
      <c r="F21" s="262">
        <f>IF(H20&gt;0,F20/H20,0)</f>
        <v>0.09523809524</v>
      </c>
      <c r="G21" s="262">
        <f>IF(H20&gt;0,G20/H20,0)</f>
        <v>0.09523809524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0.2380952381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0.8095238095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3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4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1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1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2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7</v>
      </c>
      <c r="AN33" s="236">
        <f>G20</f>
        <v>2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1</v>
      </c>
      <c r="D34" s="255">
        <f>COUNTIF(B137:AG137,D33)</f>
        <v>0</v>
      </c>
      <c r="E34" s="255">
        <f t="shared" ref="E34:F34" si="19">COUNTIF(B137:AG137,E33)</f>
        <v>1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2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2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1</v>
      </c>
      <c r="T34" s="255">
        <f>SUM(N34:S34)</f>
        <v>3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0.5</v>
      </c>
      <c r="D35" s="262">
        <f t="shared" si="22"/>
        <v>0</v>
      </c>
      <c r="E35" s="262">
        <f t="shared" si="22"/>
        <v>0.5</v>
      </c>
      <c r="F35" s="262">
        <f t="shared" si="22"/>
        <v>0</v>
      </c>
      <c r="G35" s="262">
        <f t="shared" si="22"/>
        <v>0</v>
      </c>
      <c r="H35" s="262">
        <f t="shared" si="23"/>
        <v>1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0.1818181818</v>
      </c>
      <c r="L36" s="218"/>
      <c r="M36" s="243" t="s">
        <v>127</v>
      </c>
      <c r="N36" s="266">
        <f>IF(T34&gt;0,(N34-S34)/T34,0)</f>
        <v>-0.3333333333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0.3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0.5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1</v>
      </c>
      <c r="L37" s="218"/>
      <c r="M37" s="243" t="s">
        <v>120</v>
      </c>
      <c r="N37" s="271">
        <f>IF(T34&gt;0,(N34+O34)/T34,0)</f>
        <v>0.6666666667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1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4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3</v>
      </c>
      <c r="C41" s="255">
        <f>COUNTIF(B137:AG137,C40)</f>
        <v>5</v>
      </c>
      <c r="D41" s="255">
        <f>COUNTIF(B137:AG137,D40)</f>
        <v>0</v>
      </c>
      <c r="E41" s="255">
        <f>COUNTIF(B137:AG137,E40)</f>
        <v>1</v>
      </c>
      <c r="F41" s="255">
        <f>COUNTIF(B137:AG137,F40)</f>
        <v>1</v>
      </c>
      <c r="G41" s="255">
        <f>COUNTIF(B137:AG137,G40)</f>
        <v>1</v>
      </c>
      <c r="H41" s="255">
        <f t="shared" ref="H41:H42" si="25">SUM(B41:G41)</f>
        <v>11</v>
      </c>
      <c r="J41" s="218"/>
      <c r="K41" s="218"/>
      <c r="L41" s="218"/>
      <c r="M41" s="252"/>
      <c r="N41" s="255">
        <f>COUNTIF(B138:AG138,N40)</f>
        <v>4</v>
      </c>
      <c r="O41" s="255">
        <f>COUNTIF(B138:AG138,O40)</f>
        <v>3</v>
      </c>
      <c r="P41" s="255">
        <f>COUNTIF(B138:AG138,P40)</f>
        <v>1</v>
      </c>
      <c r="Q41" s="255">
        <f>COUNTIF(B138:AG138,Q40)</f>
        <v>0</v>
      </c>
      <c r="R41" s="255">
        <f>COUNTIF(B138:AG138,R40)</f>
        <v>1</v>
      </c>
      <c r="S41" s="255">
        <f>COUNTIF(B138:AG138,S40)</f>
        <v>1</v>
      </c>
      <c r="T41" s="255">
        <f t="shared" ref="T41:T42" si="26">SUM(N41:S41)</f>
        <v>10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0.2727272727</v>
      </c>
      <c r="C42" s="262">
        <f>IF(H41&gt;0,C41/H41,0)</f>
        <v>0.4545454545</v>
      </c>
      <c r="D42" s="262">
        <f>IF(H41&gt;0,D41/H41,0)</f>
        <v>0</v>
      </c>
      <c r="E42" s="262">
        <f>IF(H41&gt;0,E41/H41,0)</f>
        <v>0.09090909091</v>
      </c>
      <c r="F42" s="262">
        <f>IF(H41&gt;0,F41/H41,0)</f>
        <v>0.09090909091</v>
      </c>
      <c r="G42" s="262">
        <f>IF(H41&gt;0,G41/H41,0)</f>
        <v>0.09090909091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0.4</v>
      </c>
      <c r="O42" s="262">
        <f>IF(T41&gt;0,O41/T41,0)</f>
        <v>0.3</v>
      </c>
      <c r="P42" s="262">
        <f>IF(T41&gt;0,P41/T41,0)</f>
        <v>0.1</v>
      </c>
      <c r="Q42" s="262">
        <f>IF(T41&gt;0,Q41/T41,0)</f>
        <v>0</v>
      </c>
      <c r="R42" s="262">
        <f>IF(T41&gt;0,R41/T41,0)</f>
        <v>0.1</v>
      </c>
      <c r="S42" s="262">
        <f>IF(T41&gt;0,S41/T41,0)</f>
        <v>0.1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0.1818181818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0.3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0.8181818182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0.8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A+</v>
      </c>
      <c r="C137" s="319" t="str">
        <f>VLOOKUP(B1,Rilevazione!B16:AF27,3,0)</f>
        <v>M+</v>
      </c>
      <c r="D137" s="319" t="str">
        <f>VLOOKUP(B1,Rilevazione!B16:AF27,4,0)</f>
        <v>A/</v>
      </c>
      <c r="E137" s="319" t="str">
        <f>VLOOKUP(B1,Rilevazione!B16:AF27,5,0)</f>
        <v>M-</v>
      </c>
      <c r="F137" s="319" t="str">
        <f>VLOOKUP(B1,Rilevazione!B16:AF27,6,0)</f>
        <v>A+</v>
      </c>
      <c r="G137" s="319" t="str">
        <f>VLOOKUP(B1,Rilevazione!B16:AF27,7,0)</f>
        <v>A+</v>
      </c>
      <c r="H137" s="319" t="str">
        <f>VLOOKUP(B1,Rilevazione!B16:AF27,8,0)</f>
        <v>A+</v>
      </c>
      <c r="I137" s="319" t="str">
        <f>VLOOKUP(B1,Rilevazione!B16:AF27,9,0)</f>
        <v>A+</v>
      </c>
      <c r="J137" s="319" t="str">
        <f>VLOOKUP(B1,Rilevazione!B16:AF27,10,0)</f>
        <v>M+</v>
      </c>
      <c r="K137" s="319" t="str">
        <f>VLOOKUP(B1,Rilevazione!B16:AF27,11,0)</f>
        <v>A#</v>
      </c>
      <c r="L137" s="319" t="str">
        <f>VLOOKUP(B1,Rilevazione!B16:AF27,12,0)</f>
        <v>B #</v>
      </c>
      <c r="M137" s="319" t="str">
        <f>VLOOKUP(B1,Rilevazione!B16:AF27,13,0)</f>
        <v>B-</v>
      </c>
      <c r="N137" s="319" t="str">
        <f>VLOOKUP(B1,Rilevazione!B16:AF27,14,0)</f>
        <v>B+</v>
      </c>
      <c r="O137" s="319" t="str">
        <f>VLOOKUP(B1,Rilevazione!B16:AF27,15,0)</f>
        <v>A#</v>
      </c>
      <c r="P137" s="319" t="str">
        <f>VLOOKUP(B1,Rilevazione!B16:AF27,16,0)</f>
        <v>A=</v>
      </c>
      <c r="Q137" s="319" t="str">
        <f>VLOOKUP(B1,Rilevazione!B16:AF27,17,0)</f>
        <v>A-</v>
      </c>
      <c r="R137" s="319" t="str">
        <f>VLOOKUP(B1,Rilevazione!B16:AF27,18,0)</f>
        <v>A#</v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A#</v>
      </c>
      <c r="C138" s="319" t="str">
        <f>VLOOKUP(B1,Rilevazione!B30:AF41,3,0)</f>
        <v>A#</v>
      </c>
      <c r="D138" s="319" t="str">
        <f>VLOOKUP(B1,Rilevazione!B30:AF41,4,0)</f>
        <v>A#</v>
      </c>
      <c r="E138" s="319" t="str">
        <f>VLOOKUP(B1,Rilevazione!B30:AF41,5,0)</f>
        <v>B=</v>
      </c>
      <c r="F138" s="319" t="str">
        <f>VLOOKUP(B1,Rilevazione!B30:AF41,6,0)</f>
        <v>A/</v>
      </c>
      <c r="G138" s="319" t="str">
        <f>VLOOKUP(B1,Rilevazione!B30:AF41,7,0)</f>
        <v>A!</v>
      </c>
      <c r="H138" s="319" t="str">
        <f>VLOOKUP(B1,Rilevazione!B30:AF41,8,0)</f>
        <v>A#</v>
      </c>
      <c r="I138" s="319" t="str">
        <f>VLOOKUP(B1,Rilevazione!B30:AF41,9,0)</f>
        <v>A=</v>
      </c>
      <c r="J138" s="319" t="str">
        <f>VLOOKUP(B1,Rilevazione!B30:AF41,10,0)</f>
        <v>A+</v>
      </c>
      <c r="K138" s="319" t="str">
        <f>VLOOKUP(B1,Rilevazione!B30:AF41,11,0)</f>
        <v>B+</v>
      </c>
      <c r="L138" s="319" t="str">
        <f>VLOOKUP(B1,Rilevazione!B30:AF41,12,0)</f>
        <v>A+</v>
      </c>
      <c r="M138" s="319" t="str">
        <f>VLOOKUP(B1,Rilevazione!B30:AF41,13,0)</f>
        <v>B+</v>
      </c>
      <c r="N138" s="319" t="str">
        <f>VLOOKUP(B1,Rilevazione!B30:AF41,14,0)</f>
        <v>A+</v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Atleti!B12</f>
        <v>12</v>
      </c>
      <c r="C1" s="332" t="str">
        <f>Atleti!D12</f>
        <v>Veronica Scopelliti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1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5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5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2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4</v>
      </c>
      <c r="L12" s="218"/>
      <c r="M12" s="252"/>
      <c r="N12" s="255">
        <f>COUNTIF(B136:AG136,N11)</f>
        <v>0</v>
      </c>
      <c r="O12" s="255">
        <f>COUNTIF(B136:AG136,O11)</f>
        <v>2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1</v>
      </c>
      <c r="T12" s="255">
        <f t="shared" ref="T12:T13" si="8">SUM(N12:S12)</f>
        <v>3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2</v>
      </c>
      <c r="E13" s="255">
        <f t="shared" si="6"/>
        <v>0</v>
      </c>
      <c r="F13" s="255">
        <f>COUNTIF(B136:AG140,F12)</f>
        <v>0</v>
      </c>
      <c r="G13" s="255">
        <f>COUNTIF(B136:AG140,G12)</f>
        <v>1</v>
      </c>
      <c r="H13" s="255">
        <f t="shared" ref="H13:H14" si="10">SUM(B13:G13)</f>
        <v>3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0.6666666667</v>
      </c>
      <c r="E14" s="262">
        <f t="shared" si="9"/>
        <v>0</v>
      </c>
      <c r="F14" s="262">
        <f>IF(H13&gt;0,F13/H13,0)</f>
        <v>0</v>
      </c>
      <c r="G14" s="262">
        <f>IF(H13&gt;0,G13/H13,0)</f>
        <v>0.3333333333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-0.3333333333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-0.3333333333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0.6666666667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0.5714285714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0.3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1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5</v>
      </c>
      <c r="O19" s="255">
        <f>COUNTIF(B136:AG136,O18)</f>
        <v>1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1</v>
      </c>
      <c r="T19" s="255">
        <f t="shared" ref="T19:T20" si="11">SUM(N19:S19)</f>
        <v>7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5</v>
      </c>
      <c r="C20" s="255">
        <f>COUNTIF(B136:AG140,C19)</f>
        <v>3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2</v>
      </c>
      <c r="H20" s="255">
        <f t="shared" ref="H20:H21" si="12">SUM(B20:G20)</f>
        <v>10</v>
      </c>
      <c r="J20" s="218"/>
      <c r="K20" s="218"/>
      <c r="L20" s="218"/>
      <c r="M20" s="252"/>
      <c r="N20" s="262">
        <f>IF(T19&gt;0,N19/T19,0)</f>
        <v>0.7142857143</v>
      </c>
      <c r="O20" s="262">
        <f>IF(T19&gt;0,O19/T19,0)</f>
        <v>0.1428571429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0.1428571429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0.5</v>
      </c>
      <c r="C21" s="262">
        <f>IF(H20&gt;0,C20/H20,0)</f>
        <v>0.3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0.2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0.5714285714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0.3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0.8571428571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0.8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1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1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1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5</v>
      </c>
      <c r="AN33" s="236">
        <f>G20</f>
        <v>2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1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-0.3333333333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1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2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1</v>
      </c>
      <c r="T41" s="255">
        <f t="shared" ref="T41:T42" si="26">SUM(N41:S41)</f>
        <v>3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0.6666666667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0.3333333333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-0.3333333333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0.6666666667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A#</v>
      </c>
      <c r="C136" s="319" t="str">
        <f>VLOOKUP(B1,Rilevazione!B2:AF13,3,0)</f>
        <v>A+</v>
      </c>
      <c r="D136" s="319" t="str">
        <f>VLOOKUP(B1,Rilevazione!B2:AF13,4,0)</f>
        <v>A=</v>
      </c>
      <c r="E136" s="319" t="str">
        <f>VLOOKUP(B1,Rilevazione!B2:AF13,5,0)</f>
        <v>A#</v>
      </c>
      <c r="F136" s="319" t="str">
        <f>VLOOKUP(B1,Rilevazione!B2:AF13,6,0)</f>
        <v>B+</v>
      </c>
      <c r="G136" s="319" t="str">
        <f>VLOOKUP(B1,Rilevazione!B2:AF13,7,0)</f>
        <v>B+</v>
      </c>
      <c r="H136" s="319" t="str">
        <f>VLOOKUP(B1,Rilevazione!B2:AF13,8,0)</f>
        <v>B=</v>
      </c>
      <c r="I136" s="319" t="str">
        <f>VLOOKUP(B1,Rilevazione!B2:AF13,9,0)</f>
        <v>A#</v>
      </c>
      <c r="J136" s="319" t="str">
        <f>VLOOKUP(B1,Rilevazione!B2:AF13,10,0)</f>
        <v>A#</v>
      </c>
      <c r="K136" s="319" t="str">
        <f>VLOOKUP(B1,Rilevazione!B2:AF13,11,0)</f>
        <v>A#</v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37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A+</v>
      </c>
      <c r="C138" s="319" t="str">
        <f>VLOOKUP(B1,Rilevazione!B30:AF41,3,0)</f>
        <v>M+</v>
      </c>
      <c r="D138" s="319" t="str">
        <f>VLOOKUP(B1,Rilevazione!B30:AF41,4,0)</f>
        <v>A+</v>
      </c>
      <c r="E138" s="319" t="str">
        <f>VLOOKUP(B1,Rilevazione!B30:AF41,5,0)</f>
        <v>M+</v>
      </c>
      <c r="F138" s="319" t="str">
        <f>VLOOKUP(B1,Rilevazione!B30:AF41,6,0)</f>
        <v>A=</v>
      </c>
      <c r="G138" s="319" t="str">
        <f>VLOOKUP(B1,Rilevazione!B30:AF41,7,0)</f>
        <v>M=</v>
      </c>
      <c r="H138" s="319" t="str">
        <f>VLOOKUP(B1,Rilevazione!B30:AF41,8,0)</f>
        <v/>
      </c>
      <c r="I138" s="319" t="str">
        <f>VLOOKUP(B1,Rilevazione!B30:AF41,9,0)</f>
        <v/>
      </c>
      <c r="J138" s="319" t="str">
        <f>VLOOKUP(B1,Rilevazione!B30:AF41,10,0)</f>
        <v/>
      </c>
      <c r="K138" s="319" t="str">
        <f>VLOOKUP(B1,Rilevazione!B30:AF41,11,0)</f>
        <v/>
      </c>
      <c r="L138" s="319" t="str">
        <f>VLOOKUP(B1,Rilevazione!B30:AF41,12,0)</f>
        <v/>
      </c>
      <c r="M138" s="319" t="str">
        <f>VLOOKUP(B1,Rilevazione!B30:AF41,13,0)</f>
        <v/>
      </c>
      <c r="N138" s="319" t="str">
        <f>VLOOKUP(B1,Rilevazione!B30:AF41,14,0)</f>
        <v/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Atleti!B13</f>
        <v>3</v>
      </c>
      <c r="C1" s="332" t="str">
        <f>Atleti!D13</f>
        <v>Alessandra Amoroso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1</v>
      </c>
      <c r="O5" s="255">
        <f>COUNTIF(B136:AG136,O4)</f>
        <v>1</v>
      </c>
      <c r="P5" s="255">
        <f t="shared" ref="P5:Q5" si="1">COUNTIF(B136:AG136,P4)</f>
        <v>2</v>
      </c>
      <c r="Q5" s="255">
        <f t="shared" si="1"/>
        <v>0</v>
      </c>
      <c r="R5" s="255">
        <f>COUNTIF(B136:AG136,R4)</f>
        <v>0</v>
      </c>
      <c r="S5" s="256">
        <f>COUNTIF(B136:AG136,S4)</f>
        <v>1</v>
      </c>
      <c r="T5" s="255">
        <f t="shared" ref="T5:T6" si="3">SUM(N5:S5)</f>
        <v>5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4</v>
      </c>
      <c r="C6" s="255">
        <f>COUNTIF(B136:AG140,C5)</f>
        <v>8</v>
      </c>
      <c r="D6" s="256">
        <f>COUNTIF(B136:AG140,D5)</f>
        <v>4</v>
      </c>
      <c r="E6" s="257">
        <f>COUNTIF(B136:AG140,E5)</f>
        <v>4</v>
      </c>
      <c r="F6" s="258">
        <f>COUNTIF(B136:AG140,F5)</f>
        <v>1</v>
      </c>
      <c r="G6" s="255">
        <f>COUNTIF(B136:AG140,G5)</f>
        <v>2</v>
      </c>
      <c r="H6" s="255">
        <f t="shared" ref="H6:H7" si="4">SUM(B6:G6)</f>
        <v>23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0.2</v>
      </c>
      <c r="O6" s="262">
        <f>IF(T5&gt;0,O5/T5,0)</f>
        <v>0.2</v>
      </c>
      <c r="P6" s="262">
        <f t="shared" ref="P6:Q6" si="2">IF(T5&gt;0,P5/T5,0)</f>
        <v>0.4</v>
      </c>
      <c r="Q6" s="262">
        <f t="shared" si="2"/>
        <v>0</v>
      </c>
      <c r="R6" s="262">
        <f>IF(T5&gt;0,R5/T5,0)</f>
        <v>0</v>
      </c>
      <c r="S6" s="303">
        <f>IF(T5&gt;0,S5/T5,0)</f>
        <v>0.2</v>
      </c>
      <c r="T6" s="264">
        <f t="shared" si="3"/>
        <v>1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0.1739130435</v>
      </c>
      <c r="C7" s="262">
        <f>IF(H6&gt;0,C6/H6,0)</f>
        <v>0.347826087</v>
      </c>
      <c r="D7" s="262">
        <f>IF(H6&gt;0,D6/H6,0)</f>
        <v>0.1739130435</v>
      </c>
      <c r="E7" s="263">
        <f>IF(H6&gt;0,E6/H6,0)</f>
        <v>0.1739130435</v>
      </c>
      <c r="F7" s="262">
        <f>IF(F6&gt;0,F6/H6,0)</f>
        <v>0.04347826087</v>
      </c>
      <c r="G7" s="262">
        <f>IF(G6&gt;0,G6/H6,0)</f>
        <v>0.08695652174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0.08695652174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0.8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0.6956521739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0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0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1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0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0</v>
      </c>
      <c r="J13" s="260" t="s">
        <v>130</v>
      </c>
      <c r="K13" s="261">
        <f>G6</f>
        <v>2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0.08695652174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-2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0</v>
      </c>
      <c r="C20" s="255">
        <f>COUNTIF(B136:AG140,C19)</f>
        <v>0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0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</v>
      </c>
      <c r="C21" s="262">
        <f>IF(H20&gt;0,C20/H20,0)</f>
        <v>0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0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4</v>
      </c>
      <c r="D27" s="255">
        <f t="shared" ref="D27:E27" si="13">COUNTIF(B137:AG137,D26)</f>
        <v>2</v>
      </c>
      <c r="E27" s="255">
        <f t="shared" si="13"/>
        <v>1</v>
      </c>
      <c r="F27" s="255">
        <f>COUNTIF(B137:AG137,F26)</f>
        <v>0</v>
      </c>
      <c r="G27" s="255">
        <f>COUNTIF(B137:AG137,G26)</f>
        <v>1</v>
      </c>
      <c r="H27" s="255">
        <f t="shared" ref="H27:H28" si="16">SUM(B27:G27)</f>
        <v>8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3</v>
      </c>
      <c r="O27" s="255">
        <f>COUNTIF(B138:AG138,O26)</f>
        <v>3</v>
      </c>
      <c r="P27" s="255">
        <f t="shared" ref="P27:Q27" si="14">COUNTIF(B138:AG138,P26)</f>
        <v>0</v>
      </c>
      <c r="Q27" s="255">
        <f t="shared" si="14"/>
        <v>1</v>
      </c>
      <c r="R27" s="255">
        <f>COUNTIF(B138:AG138,R26)</f>
        <v>1</v>
      </c>
      <c r="S27" s="255">
        <f>COUNTIF(B138:AG138,S26)</f>
        <v>0</v>
      </c>
      <c r="T27" s="256">
        <f t="shared" ref="T27:T28" si="18">SUM(N27:S27)</f>
        <v>8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0.5</v>
      </c>
      <c r="D28" s="262">
        <f t="shared" ref="D28:E28" si="15">IF(H27&gt;0,D27/H27,0)</f>
        <v>0.25</v>
      </c>
      <c r="E28" s="262">
        <f t="shared" si="15"/>
        <v>0</v>
      </c>
      <c r="F28" s="262">
        <f>IF(H27&gt;0,F27/H27,0)</f>
        <v>0</v>
      </c>
      <c r="G28" s="262">
        <f>IF(H27&gt;0,G27/H27,0)</f>
        <v>0.125</v>
      </c>
      <c r="H28" s="264">
        <f t="shared" si="16"/>
        <v>0.875</v>
      </c>
      <c r="J28" s="267"/>
      <c r="K28" s="267"/>
      <c r="L28" s="218"/>
      <c r="M28" s="252"/>
      <c r="N28" s="262">
        <f>IF(T27&gt;0,N27/T27,0)</f>
        <v>0.375</v>
      </c>
      <c r="O28" s="262">
        <f>IF(T27&gt;0,O27/T27,0)</f>
        <v>0.375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0.125</v>
      </c>
      <c r="S28" s="262">
        <f>IF(T27&gt;0,S27/T27,0)</f>
        <v>0</v>
      </c>
      <c r="T28" s="264">
        <f t="shared" si="18"/>
        <v>0.875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-0.125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0.375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0.75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0.75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0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1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-0.125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0.375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-2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R-</v>
      </c>
      <c r="C136" s="319" t="str">
        <f>VLOOKUP(B1,Rilevazione!B2:AF13,3,0)</f>
        <v>R#</v>
      </c>
      <c r="D136" s="319" t="str">
        <f>VLOOKUP(B1,Rilevazione!B2:AF13,4,0)</f>
        <v>R!</v>
      </c>
      <c r="E136" s="319" t="str">
        <f>VLOOKUP(B1,Rilevazione!B2:AF13,5,0)</f>
        <v>R!</v>
      </c>
      <c r="F136" s="319" t="str">
        <f>VLOOKUP(B1,Rilevazione!B2:AF13,6,0)</f>
        <v>R+</v>
      </c>
      <c r="G136" s="319" t="str">
        <f>VLOOKUP(B1,Rilevazione!B2:AF13,7,0)</f>
        <v>R=</v>
      </c>
      <c r="H136" s="319" t="str">
        <f>VLOOKUP(B1,Rilevazione!B2:AF13,8,0)</f>
        <v/>
      </c>
      <c r="I136" s="319" t="str">
        <f>VLOOKUP(B1,Rilevazione!B2:AF13,9,0)</f>
        <v/>
      </c>
      <c r="J136" s="319" t="str">
        <f>VLOOKUP(B1,Rilevazione!B2:AF13,10,0)</f>
        <v/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R-</v>
      </c>
      <c r="C137" s="319" t="str">
        <f>VLOOKUP(B1,Rilevazione!B16:AF27,3,0)</f>
        <v>R-</v>
      </c>
      <c r="D137" s="319" t="str">
        <f>VLOOKUP(B1,Rilevazione!B16:AF27,4,0)</f>
        <v>R+</v>
      </c>
      <c r="E137" s="319" t="str">
        <f>VLOOKUP(B1,Rilevazione!B16:AF27,5,0)</f>
        <v>R+</v>
      </c>
      <c r="F137" s="319" t="str">
        <f>VLOOKUP(B1,Rilevazione!B16:AF27,6,0)</f>
        <v>R=</v>
      </c>
      <c r="G137" s="319" t="str">
        <f>VLOOKUP(B1,Rilevazione!B16:AF27,7,0)</f>
        <v>R+</v>
      </c>
      <c r="H137" s="319" t="str">
        <f>VLOOKUP(B1,Rilevazione!B16:AF27,8,0)</f>
        <v>R!</v>
      </c>
      <c r="I137" s="319" t="str">
        <f>VLOOKUP(B1,Rilevazione!B16:AF27,9,0)</f>
        <v>R!</v>
      </c>
      <c r="J137" s="319" t="str">
        <f>VLOOKUP(B1,Rilevazione!B16:AF27,10,0)</f>
        <v>R+</v>
      </c>
      <c r="K137" s="319" t="str">
        <f>VLOOKUP(B1,Rilevazione!B16:AF27,11,0)</f>
        <v/>
      </c>
      <c r="L137" s="319" t="str">
        <f>VLOOKUP(B1,Rilevazione!B16:AF27,12,0)</f>
        <v/>
      </c>
      <c r="M137" s="319" t="str">
        <f>VLOOKUP(B1,Rilevazione!B16:AF27,13,0)</f>
        <v/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19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R#</v>
      </c>
      <c r="C138" s="319" t="str">
        <f>VLOOKUP(B1,Rilevazione!B30:AF41,3,0)</f>
        <v>R-</v>
      </c>
      <c r="D138" s="319" t="str">
        <f>VLOOKUP(B1,Rilevazione!B30:AF41,4,0)</f>
        <v>R+</v>
      </c>
      <c r="E138" s="319" t="str">
        <f>VLOOKUP(B1,Rilevazione!B30:AF41,5,0)</f>
        <v>R+</v>
      </c>
      <c r="F138" s="319" t="str">
        <f>VLOOKUP(B1,Rilevazione!B30:AF41,6,0)</f>
        <v>R#</v>
      </c>
      <c r="G138" s="319" t="str">
        <f>VLOOKUP(B1,Rilevazione!B30:AF41,7,0)</f>
        <v>R#</v>
      </c>
      <c r="H138" s="319" t="str">
        <f>VLOOKUP(B1,Rilevazione!B30:AF41,8,0)</f>
        <v>R+</v>
      </c>
      <c r="I138" s="319" t="str">
        <f>VLOOKUP(B1,Rilevazione!B30:AF41,9,0)</f>
        <v>R/</v>
      </c>
      <c r="J138" s="319" t="str">
        <f>VLOOKUP(B1,Rilevazione!B30:AF41,10,0)</f>
        <v/>
      </c>
      <c r="K138" s="319" t="str">
        <f>VLOOKUP(B1,Rilevazione!B30:AF41,11,0)</f>
        <v/>
      </c>
      <c r="L138" s="319" t="str">
        <f>VLOOKUP(B1,Rilevazione!B30:AF41,12,0)</f>
        <v/>
      </c>
      <c r="M138" s="319" t="str">
        <f>VLOOKUP(B1,Rilevazione!B30:AF41,13,0)</f>
        <v/>
      </c>
      <c r="N138" s="319" t="str">
        <f>VLOOKUP(B1,Rilevazione!B30:AF41,14,0)</f>
        <v/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Atleti!B14</f>
        <v>17</v>
      </c>
      <c r="C1" s="332" t="str">
        <f>Atleti!D14</f>
        <v>Carmen Consoli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1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1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1</v>
      </c>
      <c r="C6" s="255">
        <f>COUNTIF(B136:AG140,C5)</f>
        <v>1</v>
      </c>
      <c r="D6" s="256">
        <f>COUNTIF(B136:AG140,D5)</f>
        <v>0</v>
      </c>
      <c r="E6" s="257">
        <f>COUNTIF(B136:AG140,E5)</f>
        <v>2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4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1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1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0.25</v>
      </c>
      <c r="C7" s="262">
        <f>IF(H6&gt;0,C6/H6,0)</f>
        <v>0.25</v>
      </c>
      <c r="D7" s="262">
        <f>IF(H6&gt;0,D6/H6,0)</f>
        <v>0</v>
      </c>
      <c r="E7" s="263">
        <f>IF(H6&gt;0,E6/H6,0)</f>
        <v>0.5</v>
      </c>
      <c r="F7" s="262">
        <f>IF(F6&gt;0,F6/H6,0)</f>
        <v>0</v>
      </c>
      <c r="G7" s="262">
        <f>IF(G6&gt;0,G6/H6,0)</f>
        <v>0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1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0.25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1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0.5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2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11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1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2</v>
      </c>
      <c r="L12" s="218"/>
      <c r="M12" s="252"/>
      <c r="N12" s="255">
        <f>COUNTIF(B136:AG136,N11)</f>
        <v>0</v>
      </c>
      <c r="O12" s="255">
        <f>COUNTIF(B136:AG136,O11)</f>
        <v>2</v>
      </c>
      <c r="P12" s="255">
        <f t="shared" ref="P12:Q12" si="5">COUNTIF(B136:AG136,P11)</f>
        <v>1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3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1</v>
      </c>
      <c r="D13" s="255">
        <f t="shared" ref="D13:E13" si="6">COUNTIF(B136:AG140,D12)</f>
        <v>4</v>
      </c>
      <c r="E13" s="255">
        <f t="shared" si="6"/>
        <v>1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6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0.3333333333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0.3333333333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0.1666666667</v>
      </c>
      <c r="D14" s="262">
        <f t="shared" ref="D14:E14" si="9">IF(H13&gt;0,D13/H13,0)</f>
        <v>0.6666666667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0.8333333333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1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0.25</v>
      </c>
      <c r="L15" s="218"/>
      <c r="M15" s="243" t="s">
        <v>120</v>
      </c>
      <c r="N15" s="271">
        <f>IF(T12&gt;0,(N12+O12)/T12,0)</f>
        <v>0.6666666667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0.2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0.1666666667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0.4736842105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9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2</v>
      </c>
      <c r="O19" s="255">
        <f>COUNTIF(B136:AG136,O18)</f>
        <v>2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1</v>
      </c>
      <c r="T19" s="255">
        <f t="shared" ref="T19:T20" si="11">SUM(N19:S19)</f>
        <v>5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11</v>
      </c>
      <c r="C20" s="255">
        <f>COUNTIF(B136:AG140,C19)</f>
        <v>6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2</v>
      </c>
      <c r="H20" s="255">
        <f t="shared" ref="H20:H21" si="12">SUM(B20:G20)</f>
        <v>19</v>
      </c>
      <c r="J20" s="218"/>
      <c r="K20" s="218"/>
      <c r="L20" s="218"/>
      <c r="M20" s="252"/>
      <c r="N20" s="262">
        <f>IF(T19&gt;0,N19/T19,0)</f>
        <v>0.4</v>
      </c>
      <c r="O20" s="262">
        <f>IF(T19&gt;0,O19/T19,0)</f>
        <v>0.4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0.2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0.5789473684</v>
      </c>
      <c r="C21" s="262">
        <f>IF(H20&gt;0,C20/H20,0)</f>
        <v>0.3157894737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0.1052631579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0.2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0.4736842105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0.8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0.8947368421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1</v>
      </c>
      <c r="D27" s="255">
        <f t="shared" ref="D27:E27" si="13">COUNTIF(B137:AG137,D26)</f>
        <v>0</v>
      </c>
      <c r="E27" s="255">
        <f t="shared" si="13"/>
        <v>1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2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0.5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0.5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0.5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6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3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1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11</v>
      </c>
      <c r="AN33" s="236">
        <f>G20</f>
        <v>2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2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1</v>
      </c>
      <c r="G34" s="255">
        <f>COUNTIF(B137:AG137,G33)</f>
        <v>0</v>
      </c>
      <c r="H34" s="255">
        <f t="shared" ref="H34:H35" si="23">SUM(B34:G34)</f>
        <v>3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0.6666666667</v>
      </c>
      <c r="D35" s="262">
        <f t="shared" si="22"/>
        <v>0</v>
      </c>
      <c r="E35" s="262">
        <f t="shared" si="22"/>
        <v>0</v>
      </c>
      <c r="F35" s="262">
        <f t="shared" si="22"/>
        <v>0.3333333333</v>
      </c>
      <c r="G35" s="262">
        <f t="shared" si="22"/>
        <v>0</v>
      </c>
      <c r="H35" s="262">
        <f t="shared" si="23"/>
        <v>1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0.6666666667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0.4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0.6666666667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9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6</v>
      </c>
      <c r="C41" s="255">
        <f>COUNTIF(B137:AG137,C40)</f>
        <v>3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9</v>
      </c>
      <c r="J41" s="218"/>
      <c r="K41" s="218"/>
      <c r="L41" s="218"/>
      <c r="M41" s="252"/>
      <c r="N41" s="255">
        <f>COUNTIF(B138:AG138,N40)</f>
        <v>3</v>
      </c>
      <c r="O41" s="255">
        <f>COUNTIF(B138:AG138,O40)</f>
        <v>1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1</v>
      </c>
      <c r="T41" s="255">
        <f t="shared" ref="T41:T42" si="26">SUM(N41:S41)</f>
        <v>5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0.6666666667</v>
      </c>
      <c r="C42" s="262">
        <f>IF(H41&gt;0,C41/H41,0)</f>
        <v>0.3333333333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1</v>
      </c>
      <c r="J42" s="218"/>
      <c r="K42" s="218"/>
      <c r="L42" s="218"/>
      <c r="M42" s="252"/>
      <c r="N42" s="262">
        <f>IF(T41&gt;0,N41/T41,0)</f>
        <v>0.6</v>
      </c>
      <c r="O42" s="262">
        <f>IF(T41&gt;0,O41/T41,0)</f>
        <v>0.2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0.2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0.6666666667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0.4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1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0.8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A+</v>
      </c>
      <c r="C136" s="319" t="str">
        <f>VLOOKUP(B1,Rilevazione!B2:AF13,3,0)</f>
        <v>A#</v>
      </c>
      <c r="D136" s="319" t="str">
        <f>VLOOKUP(B1,Rilevazione!B2:AF13,4,0)</f>
        <v>A=</v>
      </c>
      <c r="E136" s="319" t="str">
        <f>VLOOKUP(B1,Rilevazione!B2:AF13,5,0)</f>
        <v>A+</v>
      </c>
      <c r="F136" s="319" t="str">
        <f>VLOOKUP(B1,Rilevazione!B2:AF13,6,0)</f>
        <v>R#</v>
      </c>
      <c r="G136" s="319" t="str">
        <f>VLOOKUP(B1,Rilevazione!B2:AF13,7,0)</f>
        <v>A#</v>
      </c>
      <c r="H136" s="319" t="str">
        <f>VLOOKUP(B1,Rilevazione!B2:AF13,8,0)</f>
        <v>B+</v>
      </c>
      <c r="I136" s="319" t="str">
        <f>VLOOKUP(B1,Rilevazione!B2:AF13,9,0)</f>
        <v>B+</v>
      </c>
      <c r="J136" s="319" t="str">
        <f>VLOOKUP(B1,Rilevazione!B2:AF13,10,0)</f>
        <v>B!</v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R-</v>
      </c>
      <c r="C137" s="319" t="str">
        <f>VLOOKUP(B1,Rilevazione!B16:AF27,3,0)</f>
        <v>A#</v>
      </c>
      <c r="D137" s="319" t="str">
        <f>VLOOKUP(B1,Rilevazione!B16:AF27,4,0)</f>
        <v>A#</v>
      </c>
      <c r="E137" s="319" t="str">
        <f>VLOOKUP(B1,Rilevazione!B16:AF27,5,0)</f>
        <v>A#</v>
      </c>
      <c r="F137" s="319" t="str">
        <f>VLOOKUP(B1,Rilevazione!B16:AF27,6,0)</f>
        <v>A+</v>
      </c>
      <c r="G137" s="319" t="str">
        <f>VLOOKUP(B1,Rilevazione!B16:AF27,7,0)</f>
        <v>R-</v>
      </c>
      <c r="H137" s="319" t="str">
        <f>VLOOKUP(B1,Rilevazione!B16:AF27,8,0)</f>
        <v>B+</v>
      </c>
      <c r="I137" s="319" t="str">
        <f>VLOOKUP(B1,Rilevazione!B16:AF27,9,0)</f>
        <v>B+</v>
      </c>
      <c r="J137" s="319" t="str">
        <f>VLOOKUP(B1,Rilevazione!B16:AF27,10,0)</f>
        <v>B/</v>
      </c>
      <c r="K137" s="319" t="str">
        <f>VLOOKUP(B1,Rilevazione!B16:AF27,11,0)</f>
        <v>A+</v>
      </c>
      <c r="L137" s="319" t="str">
        <f>VLOOKUP(B1,Rilevazione!B16:AF27,12,0)</f>
        <v>A#</v>
      </c>
      <c r="M137" s="319" t="str">
        <f>VLOOKUP(B1,Rilevazione!B16:AF27,13,0)</f>
        <v>A+</v>
      </c>
      <c r="N137" s="319" t="str">
        <f>VLOOKUP(B1,Rilevazione!B16:AF27,14,0)</f>
        <v>R+</v>
      </c>
      <c r="O137" s="319" t="str">
        <f>VLOOKUP(B1,Rilevazione!B16:AF27,15,0)</f>
        <v>A#</v>
      </c>
      <c r="P137" s="319" t="str">
        <f>VLOOKUP(B1,Rilevazione!B16:AF27,16,0)</f>
        <v>A#</v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37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A#</v>
      </c>
      <c r="C138" s="319" t="str">
        <f>VLOOKUP(B1,Rilevazione!B30:AF41,3,0)</f>
        <v>A#</v>
      </c>
      <c r="D138" s="319" t="str">
        <f>VLOOKUP(B1,Rilevazione!B30:AF41,4,0)</f>
        <v>A+</v>
      </c>
      <c r="E138" s="319" t="str">
        <f>VLOOKUP(B1,Rilevazione!B30:AF41,5,0)</f>
        <v>A=</v>
      </c>
      <c r="F138" s="319" t="str">
        <f>VLOOKUP(B1,Rilevazione!B30:AF41,6,0)</f>
        <v>A#</v>
      </c>
      <c r="G138" s="319" t="str">
        <f>VLOOKUP(B1,Rilevazione!B30:AF41,7,0)</f>
        <v/>
      </c>
      <c r="H138" s="319" t="str">
        <f>VLOOKUP(B1,Rilevazione!B30:AF41,8,0)</f>
        <v/>
      </c>
      <c r="I138" s="319" t="str">
        <f>VLOOKUP(B1,Rilevazione!B30:AF41,9,0)</f>
        <v/>
      </c>
      <c r="J138" s="319" t="str">
        <f>VLOOKUP(B1,Rilevazione!B30:AF41,10,0)</f>
        <v/>
      </c>
      <c r="K138" s="319" t="str">
        <f>VLOOKUP(B1,Rilevazione!B30:AF41,11,0)</f>
        <v/>
      </c>
      <c r="L138" s="319" t="str">
        <f>VLOOKUP(B1,Rilevazione!B30:AF41,12,0)</f>
        <v/>
      </c>
      <c r="M138" s="319" t="str">
        <f>VLOOKUP(B1,Rilevazione!B30:AF41,13,0)</f>
        <v/>
      </c>
      <c r="N138" s="319" t="str">
        <f>VLOOKUP(B1,Rilevazione!B30:AF41,14,0)</f>
        <v/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Atleti!B15</f>
        <v>4</v>
      </c>
      <c r="C1" s="332" t="str">
        <f>Atleti!D15</f>
        <v>Gaia Gozzi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1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3</v>
      </c>
      <c r="C6" s="255">
        <f>COUNTIF(B136:AG140,C5)</f>
        <v>2</v>
      </c>
      <c r="D6" s="256">
        <f>COUNTIF(B136:AG140,D5)</f>
        <v>0</v>
      </c>
      <c r="E6" s="257">
        <f>COUNTIF(B136:AG140,E5)</f>
        <v>2</v>
      </c>
      <c r="F6" s="258">
        <f>COUNTIF(B136:AG140,F5)</f>
        <v>0</v>
      </c>
      <c r="G6" s="255">
        <f>COUNTIF(B136:AG140,G5)</f>
        <v>3</v>
      </c>
      <c r="H6" s="255">
        <f t="shared" ref="H6:H7" si="4">SUM(B6:G6)</f>
        <v>10</v>
      </c>
      <c r="J6" s="255">
        <f>COUNTIF(B136:AG140,J5)</f>
        <v>1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0.3</v>
      </c>
      <c r="C7" s="262">
        <f>IF(H6&gt;0,C6/H6,0)</f>
        <v>0.2</v>
      </c>
      <c r="D7" s="262">
        <f>IF(H6&gt;0,D6/H6,0)</f>
        <v>0</v>
      </c>
      <c r="E7" s="263">
        <f>IF(H6&gt;0,E6/H6,0)</f>
        <v>0.2</v>
      </c>
      <c r="F7" s="262">
        <f>IF(F6&gt;0,F6/H6,0)</f>
        <v>0</v>
      </c>
      <c r="G7" s="262">
        <f>IF(G6&gt;0,G6/H6,0)</f>
        <v>0.3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0.5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4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6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1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1</v>
      </c>
      <c r="L12" s="218"/>
      <c r="M12" s="252"/>
      <c r="N12" s="255">
        <f>COUNTIF(B136:AG136,N11)</f>
        <v>1</v>
      </c>
      <c r="O12" s="255">
        <f>COUNTIF(B136:AG136,O11)</f>
        <v>0</v>
      </c>
      <c r="P12" s="255">
        <f t="shared" ref="P12:Q12" si="5">COUNTIF(B136:AG136,P11)</f>
        <v>1</v>
      </c>
      <c r="Q12" s="255">
        <f t="shared" si="5"/>
        <v>0</v>
      </c>
      <c r="R12" s="255">
        <f>COUNTIF(B136:AG136,R11)</f>
        <v>0</v>
      </c>
      <c r="S12" s="255">
        <f>COUNTIF(B136:AG136,S11)</f>
        <v>1</v>
      </c>
      <c r="T12" s="255">
        <f t="shared" ref="T12:T13" si="8">SUM(N12:S12)</f>
        <v>3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2</v>
      </c>
      <c r="C13" s="255">
        <f>COUNTIF(B136:AG140,C12)</f>
        <v>1</v>
      </c>
      <c r="D13" s="255">
        <f t="shared" ref="D13:E13" si="6">COUNTIF(B136:AG140,D12)</f>
        <v>2</v>
      </c>
      <c r="E13" s="255">
        <f t="shared" si="6"/>
        <v>1</v>
      </c>
      <c r="F13" s="255">
        <f>COUNTIF(B136:AG140,F12)</f>
        <v>1</v>
      </c>
      <c r="G13" s="255">
        <f>COUNTIF(B136:AG140,G12)</f>
        <v>1</v>
      </c>
      <c r="H13" s="255">
        <f t="shared" ref="H13:H14" si="10">SUM(B13:G13)</f>
        <v>8</v>
      </c>
      <c r="J13" s="260" t="s">
        <v>130</v>
      </c>
      <c r="K13" s="261">
        <f>G6</f>
        <v>3</v>
      </c>
      <c r="L13" s="218"/>
      <c r="M13" s="252"/>
      <c r="N13" s="262">
        <f>IF(T12&gt;0,N12/T12,0)</f>
        <v>0.3333333333</v>
      </c>
      <c r="O13" s="262">
        <f>IF(S2&gt;0,O12/T12,0)</f>
        <v>0</v>
      </c>
      <c r="P13" s="262">
        <f t="shared" ref="P13:Q13" si="7">IF(T12&gt;0,P12/T12,0)</f>
        <v>0.3333333333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0.6666666667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0.25</v>
      </c>
      <c r="C14" s="262">
        <f>IF(H13&gt;0,C13/H13,0)</f>
        <v>0.125</v>
      </c>
      <c r="D14" s="262">
        <f t="shared" ref="D14:E14" si="9">IF(H13&gt;0,D13/H13,0)</f>
        <v>0.25</v>
      </c>
      <c r="E14" s="262">
        <f t="shared" si="9"/>
        <v>0</v>
      </c>
      <c r="F14" s="262">
        <f>IF(H13&gt;0,F13/H13,0)</f>
        <v>0.125</v>
      </c>
      <c r="G14" s="262">
        <f>IF(H13&gt;0,G13/H13,0)</f>
        <v>0.125</v>
      </c>
      <c r="H14" s="262">
        <f t="shared" si="10"/>
        <v>0.875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0.125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0.3333333333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1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0.375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0.75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2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2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2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3</v>
      </c>
      <c r="C20" s="255">
        <f>COUNTIF(B136:AG140,C19)</f>
        <v>1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4</v>
      </c>
      <c r="J20" s="218"/>
      <c r="K20" s="218"/>
      <c r="L20" s="218"/>
      <c r="M20" s="252"/>
      <c r="N20" s="262">
        <f>IF(T19&gt;0,N19/T19,0)</f>
        <v>1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1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0.75</v>
      </c>
      <c r="C21" s="262">
        <f>IF(H20&gt;0,C20/H20,0)</f>
        <v>0.25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1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0.75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1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1</v>
      </c>
      <c r="F27" s="255">
        <f>COUNTIF(B137:AG137,F26)</f>
        <v>0</v>
      </c>
      <c r="G27" s="255">
        <f>COUNTIF(B137:AG137,G26)</f>
        <v>1</v>
      </c>
      <c r="H27" s="255">
        <f t="shared" ref="H27:H28" si="16">SUM(B27:G27)</f>
        <v>2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3</v>
      </c>
      <c r="O27" s="255">
        <f>COUNTIF(B138:AG138,O26)</f>
        <v>2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2</v>
      </c>
      <c r="T27" s="256">
        <f t="shared" ref="T27:T28" si="18">SUM(N27:S27)</f>
        <v>7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0.5</v>
      </c>
      <c r="H28" s="264">
        <f t="shared" si="16"/>
        <v>0.5</v>
      </c>
      <c r="J28" s="267"/>
      <c r="K28" s="267"/>
      <c r="L28" s="218"/>
      <c r="M28" s="252"/>
      <c r="N28" s="262">
        <f>IF(T27&gt;0,N27/T27,0)</f>
        <v>0.4285714286</v>
      </c>
      <c r="O28" s="262">
        <f>IF(T27&gt;0,O27/T27,0)</f>
        <v>0.2857142857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0.2857142857</v>
      </c>
      <c r="T28" s="264">
        <f t="shared" si="18"/>
        <v>1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-0.5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0.1428571429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0.7142857143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2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2</v>
      </c>
      <c r="AN32" s="236">
        <f>G13</f>
        <v>1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3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1</v>
      </c>
      <c r="L34" s="218"/>
      <c r="M34" s="252"/>
      <c r="N34" s="255">
        <f>COUNTIF(B138:AG138,N33)</f>
        <v>1</v>
      </c>
      <c r="O34" s="255">
        <f t="shared" ref="O34:P34" si="20">COUNTIF(B138:AG138,O33)</f>
        <v>2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3</v>
      </c>
      <c r="U34" s="260"/>
      <c r="V34" s="260"/>
      <c r="W34" s="260" t="s">
        <v>130</v>
      </c>
      <c r="X34" s="261">
        <f>S27</f>
        <v>2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1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-0.5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0.1428571429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0.3333333333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0.5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1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2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1</v>
      </c>
      <c r="O41" s="255">
        <f>COUNTIF(B138:AG138,O40)</f>
        <v>1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2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0.5</v>
      </c>
      <c r="O42" s="262">
        <f>IF(T41&gt;0,O41/T41,0)</f>
        <v>0.5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0.5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1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B-</v>
      </c>
      <c r="C136" s="319" t="str">
        <f>VLOOKUP(B1,Rilevazione!B2:AF13,3,0)</f>
        <v>B#</v>
      </c>
      <c r="D136" s="319" t="str">
        <f>VLOOKUP(B1,Rilevazione!B2:AF13,4,0)</f>
        <v>B=</v>
      </c>
      <c r="E136" s="319" t="str">
        <f>VLOOKUP(B1,Rilevazione!B2:AF13,5,0)</f>
        <v>B!</v>
      </c>
      <c r="F136" s="319" t="str">
        <f>VLOOKUP(B1,Rilevazione!B2:AF13,6,0)</f>
        <v>A#</v>
      </c>
      <c r="G136" s="319" t="str">
        <f>VLOOKUP(B1,Rilevazione!B2:AF13,7,0)</f>
        <v>A#</v>
      </c>
      <c r="H136" s="319" t="str">
        <f>VLOOKUP(B1,Rilevazione!B2:AF13,8,0)</f>
        <v>M#</v>
      </c>
      <c r="I136" s="319" t="str">
        <f>VLOOKUP(B1,Rilevazione!B2:AF13,9,0)</f>
        <v/>
      </c>
      <c r="J136" s="319" t="str">
        <f>VLOOKUP(B1,Rilevazione!B2:AF13,10,0)</f>
        <v/>
      </c>
      <c r="K136" s="319" t="str">
        <f>VLOOKUP(B1,Rilevazione!B2:AF13,11,0)</f>
        <v/>
      </c>
      <c r="L136" s="319" t="str">
        <f>VLOOKUP(B1,Rilevazione!B2:AF13,12,0)</f>
        <v/>
      </c>
      <c r="M136" s="319" t="str">
        <f>VLOOKUP(B1,Rilevazione!B2:AF13,13,0)</f>
        <v/>
      </c>
      <c r="N136" s="319" t="str">
        <f>VLOOKUP(B1,Rilevazione!B2:AF13,14,0)</f>
        <v/>
      </c>
      <c r="O136" s="319" t="str">
        <f>VLOOKUP(B1,Rilevazione!B2:AF13,15,0)</f>
        <v/>
      </c>
      <c r="P136" s="319" t="str">
        <f>VLOOKUP(B1,Rilevazione!B2:AF13,16,0)</f>
        <v/>
      </c>
      <c r="Q136" s="319" t="str">
        <f>VLOOKUP(B1,Rilevazione!B2:AF13,17,0)</f>
        <v/>
      </c>
      <c r="R136" s="319" t="str">
        <f>VLOOKUP(B1,Rilevazione!B2:AF13,18,0)</f>
        <v/>
      </c>
      <c r="S136" s="319" t="str">
        <f>VLOOKUP(B1,Rilevazione!B2:AF13,19,0)</f>
        <v/>
      </c>
      <c r="T136" s="319" t="str">
        <f>VLOOKUP(B1,Rilevazione!B2:AF13,20,0)</f>
        <v/>
      </c>
      <c r="U136" s="319"/>
      <c r="V136" s="319"/>
      <c r="W136" s="319" t="str">
        <f>VLOOKUP(B1,Rilevazione!B2:AF13,21,0)</f>
        <v/>
      </c>
      <c r="X136" s="319" t="str">
        <f>VLOOKUP(B1,Rilevazione!B2:AF13,22,0)</f>
        <v/>
      </c>
      <c r="Y136" s="319" t="str">
        <f>VLOOKUP(B1,Rilevazione!B2:AF13,23,0)</f>
        <v/>
      </c>
      <c r="Z136" s="319" t="str">
        <f>VLOOKUP(B1,Rilevazione!B2:AF13,24,0)</f>
        <v/>
      </c>
      <c r="AA136" s="319" t="str">
        <f>VLOOKUP(B1,Rilevazione!B2:AF13,25,0)</f>
        <v/>
      </c>
      <c r="AB136" s="319" t="str">
        <f>VLOOKUP(B1,Rilevazione!B2:AF13,26,0)</f>
        <v/>
      </c>
      <c r="AC136" s="319" t="str">
        <f>VLOOKUP(B1,Rilevazione!B2:AF13,27,0)</f>
        <v/>
      </c>
      <c r="AD136" s="319" t="str">
        <f>VLOOKUP(B1,Rilevazione!B2:AF13,28,0)</f>
        <v/>
      </c>
      <c r="AE136" s="319" t="str">
        <f>VLOOKUP(B1,Rilevazione!B2:AF13,29,0)</f>
        <v/>
      </c>
      <c r="AF136" s="319" t="str">
        <f>VLOOKUP(B1,Rilevazione!B2:AF13,30,0)</f>
        <v/>
      </c>
      <c r="AG136" s="319" t="str">
        <f>VLOOKUP(B1,Rilevazione!B2:AF13,31,0)</f>
        <v/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B/</v>
      </c>
      <c r="C137" s="319" t="str">
        <f>VLOOKUP(B1,Rilevazione!B16:AF27,3,0)</f>
        <v>R-</v>
      </c>
      <c r="D137" s="319" t="str">
        <f>VLOOKUP(B1,Rilevazione!B16:AF27,4,0)</f>
        <v>R=</v>
      </c>
      <c r="E137" s="319" t="str">
        <f>VLOOKUP(B1,Rilevazione!B16:AF27,5,0)</f>
        <v/>
      </c>
      <c r="F137" s="319" t="str">
        <f>VLOOKUP(B1,Rilevazione!B16:AF27,6,0)</f>
        <v/>
      </c>
      <c r="G137" s="319" t="str">
        <f>VLOOKUP(B1,Rilevazione!B16:AF27,7,0)</f>
        <v/>
      </c>
      <c r="H137" s="319" t="str">
        <f>VLOOKUP(B1,Rilevazione!B16:AF27,8,0)</f>
        <v/>
      </c>
      <c r="I137" s="319" t="str">
        <f>VLOOKUP(B1,Rilevazione!B16:AF27,9,0)</f>
        <v/>
      </c>
      <c r="J137" s="319" t="str">
        <f>VLOOKUP(B1,Rilevazione!B16:AF27,10,0)</f>
        <v/>
      </c>
      <c r="K137" s="319" t="str">
        <f>VLOOKUP(B1,Rilevazione!B16:AF27,11,0)</f>
        <v/>
      </c>
      <c r="L137" s="319" t="str">
        <f>VLOOKUP(B1,Rilevazione!B16:AF27,12,0)</f>
        <v/>
      </c>
      <c r="M137" s="319" t="str">
        <f>VLOOKUP(B1,Rilevazione!B16:AF27,13,0)</f>
        <v/>
      </c>
      <c r="N137" s="319" t="str">
        <f>VLOOKUP(B1,Rilevazione!B16:AF27,14,0)</f>
        <v/>
      </c>
      <c r="O137" s="319" t="str">
        <f>VLOOKUP(B1,Rilevazione!B16:AF27,15,0)</f>
        <v/>
      </c>
      <c r="P137" s="319" t="str">
        <f>VLOOKUP(B1,Rilevazione!B16:AF27,16,0)</f>
        <v/>
      </c>
      <c r="Q137" s="319" t="str">
        <f>VLOOKUP(B1,Rilevazione!B16:AF27,17,0)</f>
        <v/>
      </c>
      <c r="R137" s="319" t="str">
        <f>VLOOKUP(B1,Rilevazione!B16:AF27,18,0)</f>
        <v/>
      </c>
      <c r="S137" s="319" t="str">
        <f>VLOOKUP(B1,Rilevazione!B16:AF27,19,0)</f>
        <v/>
      </c>
      <c r="T137" s="319" t="str">
        <f>VLOOKUP(B1,Rilevazione!B16:AF27,20,0)</f>
        <v/>
      </c>
      <c r="U137" s="319"/>
      <c r="V137" s="319"/>
      <c r="W137" s="319" t="str">
        <f>VLOOKUP(B1,Rilevazione!B16:AF27,21,0)</f>
        <v/>
      </c>
      <c r="X137" s="319" t="str">
        <f>VLOOKUP(B1,Rilevazione!B16:AF27,22,0)</f>
        <v/>
      </c>
      <c r="Y137" s="319" t="str">
        <f>VLOOKUP(B1,Rilevazione!B16:AF27,23,0)</f>
        <v/>
      </c>
      <c r="Z137" s="319" t="str">
        <f>VLOOKUP(B1,Rilevazione!B16:AF27,24,0)</f>
        <v/>
      </c>
      <c r="AA137" s="319" t="str">
        <f>VLOOKUP(B1,Rilevazione!B16:AF27,25,0)</f>
        <v/>
      </c>
      <c r="AB137" s="319" t="str">
        <f>VLOOKUP(B1,Rilevazione!B16:AF27,26,0)</f>
        <v/>
      </c>
      <c r="AC137" s="319" t="str">
        <f>VLOOKUP(B1,Rilevazione!B16:AF27,27,0)</f>
        <v/>
      </c>
      <c r="AD137" s="319" t="str">
        <f>VLOOKUP(B1,Rilevazione!B16:AF27,28,0)</f>
        <v/>
      </c>
      <c r="AE137" s="319" t="str">
        <f>VLOOKUP(B1,Rilevazione!B16:AF27,29,0)</f>
        <v/>
      </c>
      <c r="AF137" s="319" t="str">
        <f>VLOOKUP(B1,Rilevazione!B16:AF27,30,0)</f>
        <v/>
      </c>
      <c r="AG137" s="319" t="str">
        <f>VLOOKUP(B1,Rilevazione!B16:AF27,31,0)</f>
        <v/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R-</v>
      </c>
      <c r="C138" s="319" t="str">
        <f>VLOOKUP(B1,Rilevazione!B30:AF41,3,0)</f>
        <v>R#</v>
      </c>
      <c r="D138" s="319" t="str">
        <f>VLOOKUP(B1,Rilevazione!B30:AF41,4,0)</f>
        <v>R=</v>
      </c>
      <c r="E138" s="319" t="str">
        <f>VLOOKUP(B1,Rilevazione!B30:AF41,5,0)</f>
        <v>R#</v>
      </c>
      <c r="F138" s="319" t="str">
        <f>VLOOKUP(B1,Rilevazione!B30:AF41,6,0)</f>
        <v>R#</v>
      </c>
      <c r="G138" s="319" t="str">
        <f>VLOOKUP(B1,Rilevazione!B30:AF41,7,0)</f>
        <v>B+</v>
      </c>
      <c r="H138" s="319" t="str">
        <f>VLOOKUP(B1,Rilevazione!B30:AF41,8,0)</f>
        <v>A#</v>
      </c>
      <c r="I138" s="319" t="str">
        <f>VLOOKUP(B1,Rilevazione!B30:AF41,9,0)</f>
        <v>R+</v>
      </c>
      <c r="J138" s="319" t="str">
        <f>VLOOKUP(B1,Rilevazione!B30:AF41,10,0)</f>
        <v>A+</v>
      </c>
      <c r="K138" s="319" t="str">
        <f>VLOOKUP(B1,Rilevazione!B30:AF41,11,0)</f>
        <v>B#</v>
      </c>
      <c r="L138" s="319" t="str">
        <f>VLOOKUP(B1,Rilevazione!B30:AF41,12,0)</f>
        <v>B+</v>
      </c>
      <c r="M138" s="319" t="str">
        <f>VLOOKUP(B1,Rilevazione!B30:AF41,13,0)</f>
        <v>R+</v>
      </c>
      <c r="N138" s="319" t="str">
        <f>VLOOKUP(B1,Rilevazione!B30:AF41,14,0)</f>
        <v>R=</v>
      </c>
      <c r="O138" s="319" t="str">
        <f>VLOOKUP(B1,Rilevazione!B30:AF41,15,0)</f>
        <v/>
      </c>
      <c r="P138" s="319" t="str">
        <f>VLOOKUP(B1,Rilevazione!B30:AF41,16,0)</f>
        <v/>
      </c>
      <c r="Q138" s="319" t="str">
        <f>VLOOKUP(B1,Rilevazione!B30:AF41,17,0)</f>
        <v/>
      </c>
      <c r="R138" s="319" t="str">
        <f>VLOOKUP(B1,Rilevazione!B30:AF41,18,0)</f>
        <v/>
      </c>
      <c r="S138" s="319" t="str">
        <f>VLOOKUP(B1,Rilevazione!B30:AF41,19,0)</f>
        <v/>
      </c>
      <c r="T138" s="319" t="str">
        <f>VLOOKUP(B1,Rilevazione!B30:AF41,20,0)</f>
        <v/>
      </c>
      <c r="U138" s="319"/>
      <c r="V138" s="319"/>
      <c r="W138" s="319" t="str">
        <f>VLOOKUP(B1,Rilevazione!B30:AF41,21,0)</f>
        <v/>
      </c>
      <c r="X138" s="319" t="str">
        <f>VLOOKUP(B1,Rilevazione!B30:AF41,22,0)</f>
        <v/>
      </c>
      <c r="Y138" s="319" t="str">
        <f>VLOOKUP(B1,Rilevazione!B30:AF41,23,0)</f>
        <v/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225" t="s">
        <v>218</v>
      </c>
      <c r="B1" s="331">
        <f>Atleti!B16</f>
        <v>6</v>
      </c>
      <c r="C1" s="332" t="str">
        <f>Atleti!D16</f>
        <v>Francesca Calearo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2</v>
      </c>
      <c r="C6" s="255">
        <f>COUNTIF(B136:AG140,C5)</f>
        <v>1</v>
      </c>
      <c r="D6" s="256">
        <f>COUNTIF(B136:AG140,D5)</f>
        <v>0</v>
      </c>
      <c r="E6" s="257">
        <f>COUNTIF(B136:AG140,E5)</f>
        <v>1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4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0.5</v>
      </c>
      <c r="C7" s="262">
        <f>IF(H6&gt;0,C6/H6,0)</f>
        <v>0.25</v>
      </c>
      <c r="D7" s="262">
        <f>IF(H6&gt;0,D6/H6,0)</f>
        <v>0</v>
      </c>
      <c r="E7" s="263">
        <f>IF(H6&gt;0,E6/H6,0)</f>
        <v>0.25</v>
      </c>
      <c r="F7" s="262">
        <f>IF(F6&gt;0,F6/H6,0)</f>
        <v>0</v>
      </c>
      <c r="G7" s="262">
        <f>IF(G6&gt;0,G6/H6,0)</f>
        <v>0</v>
      </c>
      <c r="H7" s="264">
        <f t="shared" si="4"/>
        <v>1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0.5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0.75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3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1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4</v>
      </c>
      <c r="E13" s="255">
        <f t="shared" si="6"/>
        <v>0</v>
      </c>
      <c r="F13" s="255">
        <f>COUNTIF(B136:AG140,F12)</f>
        <v>1</v>
      </c>
      <c r="G13" s="255">
        <f>COUNTIF(B136:AG140,G12)</f>
        <v>1</v>
      </c>
      <c r="H13" s="255">
        <f t="shared" ref="H13:H14" si="10">SUM(B13:G13)</f>
        <v>6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0.6666666667</v>
      </c>
      <c r="E14" s="262">
        <f t="shared" si="9"/>
        <v>0</v>
      </c>
      <c r="F14" s="262">
        <f>IF(H13&gt;0,F13/H13,0)</f>
        <v>0.1666666667</v>
      </c>
      <c r="G14" s="262">
        <f>IF(H13&gt;0,G13/H13,0)</f>
        <v>0.1666666667</v>
      </c>
      <c r="H14" s="262">
        <f t="shared" si="10"/>
        <v>1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-0.1666666667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0.5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0.25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2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3</v>
      </c>
      <c r="C20" s="255">
        <f>COUNTIF(B136:AG140,C19)</f>
        <v>7</v>
      </c>
      <c r="D20" s="255">
        <f>COUNTIF(B136:AG140,D19)</f>
        <v>0</v>
      </c>
      <c r="E20" s="255">
        <f>COUNTIF(B136:AG140,E19)</f>
        <v>2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12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0.25</v>
      </c>
      <c r="C21" s="262">
        <f>IF(H20&gt;0,C20/H20,0)</f>
        <v>0.5833333333</v>
      </c>
      <c r="D21" s="262">
        <f>IF(H20&gt;0,D20/H20,0)</f>
        <v>0</v>
      </c>
      <c r="E21" s="262">
        <f>IF(H20&gt;0,E20/H20,0)</f>
        <v>0.1666666667</v>
      </c>
      <c r="F21" s="262">
        <f>IF(H20&gt;0,F20/H20,0)</f>
        <v>0</v>
      </c>
      <c r="G21" s="262">
        <f>IF(H20&gt;0,G20/H20,0)</f>
        <v>0</v>
      </c>
      <c r="H21" s="262">
        <f t="shared" si="12"/>
        <v>1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0.25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1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2</v>
      </c>
      <c r="O27" s="255">
        <f>COUNTIF(B138:AG138,O26)</f>
        <v>1</v>
      </c>
      <c r="P27" s="255">
        <f t="shared" ref="P27:Q27" si="14">COUNTIF(B138:AG138,P26)</f>
        <v>0</v>
      </c>
      <c r="Q27" s="255">
        <f t="shared" si="14"/>
        <v>1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4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0.5</v>
      </c>
      <c r="O28" s="262">
        <f>IF(T27&gt;0,O27/T27,0)</f>
        <v>0.25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0.75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0.5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0.75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3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1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1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3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4</v>
      </c>
      <c r="P34" s="255">
        <f t="shared" si="20"/>
        <v>0</v>
      </c>
      <c r="Q34" s="255">
        <f>COUNTIF(B138:AG138,Q33)</f>
        <v>1</v>
      </c>
      <c r="R34" s="255">
        <f>COUNTIF(B138:AG138,R33)</f>
        <v>0</v>
      </c>
      <c r="S34" s="255">
        <f>COUNTIF(B138:AG138,S33)</f>
        <v>1</v>
      </c>
      <c r="T34" s="255">
        <f>SUM(N34:S34)</f>
        <v>6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0.5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-0.1666666667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0.25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0.6666666667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2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3</v>
      </c>
      <c r="O41" s="255">
        <f>COUNTIF(B138:AG138,O40)</f>
        <v>7</v>
      </c>
      <c r="P41" s="255">
        <f>COUNTIF(B138:AG138,P40)</f>
        <v>0</v>
      </c>
      <c r="Q41" s="255">
        <f>COUNTIF(B138:AG138,Q40)</f>
        <v>2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12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0.25</v>
      </c>
      <c r="O42" s="262">
        <f>IF(T41&gt;0,O41/T41,0)</f>
        <v>0.5833333333</v>
      </c>
      <c r="P42" s="262">
        <f>IF(T41&gt;0,P41/T41,0)</f>
        <v>0</v>
      </c>
      <c r="Q42" s="262">
        <f>IF(T41&gt;0,Q41/T41,0)</f>
        <v>0.1666666667</v>
      </c>
      <c r="R42" s="262">
        <f>IF(T41&gt;0,R41/T41,0)</f>
        <v>0</v>
      </c>
      <c r="S42" s="262">
        <f>IF(T41&gt;0,S41/T41,0)</f>
        <v>0</v>
      </c>
      <c r="T42" s="262">
        <f t="shared" si="26"/>
        <v>1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0.25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1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19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A+</v>
      </c>
      <c r="C138" s="319" t="str">
        <f>VLOOKUP(B1,Rilevazione!B30:AF41,3,0)</f>
        <v>R#</v>
      </c>
      <c r="D138" s="319" t="str">
        <f>VLOOKUP(B1,Rilevazione!B30:AF41,4,0)</f>
        <v>A+</v>
      </c>
      <c r="E138" s="319" t="str">
        <f>VLOOKUP(B1,Rilevazione!B30:AF41,5,0)</f>
        <v>B+</v>
      </c>
      <c r="F138" s="319" t="str">
        <f>VLOOKUP(B1,Rilevazione!B30:AF41,6,0)</f>
        <v>B-</v>
      </c>
      <c r="G138" s="319" t="str">
        <f>VLOOKUP(B1,Rilevazione!B30:AF41,7,0)</f>
        <v>A#</v>
      </c>
      <c r="H138" s="319" t="str">
        <f>VLOOKUP(B1,Rilevazione!B30:AF41,8,0)</f>
        <v>A#</v>
      </c>
      <c r="I138" s="319" t="str">
        <f>VLOOKUP(B1,Rilevazione!B30:AF41,9,0)</f>
        <v>A#</v>
      </c>
      <c r="J138" s="319" t="str">
        <f>VLOOKUP(B1,Rilevazione!B30:AF41,10,0)</f>
        <v>A-</v>
      </c>
      <c r="K138" s="319" t="str">
        <f>VLOOKUP(B1,Rilevazione!B30:AF41,11,0)</f>
        <v>A+</v>
      </c>
      <c r="L138" s="319" t="str">
        <f>VLOOKUP(B1,Rilevazione!B30:AF41,12,0)</f>
        <v>A+</v>
      </c>
      <c r="M138" s="319" t="str">
        <f>VLOOKUP(B1,Rilevazione!B30:AF41,13,0)</f>
        <v>A-</v>
      </c>
      <c r="N138" s="319" t="str">
        <f>VLOOKUP(B1,Rilevazione!B30:AF41,14,0)</f>
        <v>B=</v>
      </c>
      <c r="O138" s="319" t="str">
        <f>VLOOKUP(B1,Rilevazione!B30:AF41,15,0)</f>
        <v>R-</v>
      </c>
      <c r="P138" s="319" t="str">
        <f>VLOOKUP(B1,Rilevazione!B30:AF41,16,0)</f>
        <v>R+</v>
      </c>
      <c r="Q138" s="319" t="str">
        <f>VLOOKUP(B1,Rilevazione!B30:AF41,17,0)</f>
        <v>A+</v>
      </c>
      <c r="R138" s="319" t="str">
        <f>VLOOKUP(B1,Rilevazione!B30:AF41,18,0)</f>
        <v>A+</v>
      </c>
      <c r="S138" s="319" t="str">
        <f>VLOOKUP(B1,Rilevazione!B30:AF41,19,0)</f>
        <v>A+</v>
      </c>
      <c r="T138" s="319" t="str">
        <f>VLOOKUP(B1,Rilevazione!B30:AF41,20,0)</f>
        <v>B+</v>
      </c>
      <c r="U138" s="319"/>
      <c r="V138" s="319"/>
      <c r="W138" s="319" t="str">
        <f>VLOOKUP(B1,Rilevazione!B30:AF41,21,0)</f>
        <v>B+</v>
      </c>
      <c r="X138" s="319" t="str">
        <f>VLOOKUP(B1,Rilevazione!B30:AF41,22,0)</f>
        <v>B+</v>
      </c>
      <c r="Y138" s="319" t="str">
        <f>VLOOKUP(B1,Rilevazione!B30:AF41,23,0)</f>
        <v>R#</v>
      </c>
      <c r="Z138" s="319" t="str">
        <f>VLOOKUP(B1,Rilevazione!B30:AF41,24,0)</f>
        <v/>
      </c>
      <c r="AA138" s="319" t="str">
        <f>VLOOKUP(B1,Rilevazione!B30:AF41,25,0)</f>
        <v/>
      </c>
      <c r="AB138" s="319" t="str">
        <f>VLOOKUP(B1,Rilevazione!B30:AF41,26,0)</f>
        <v/>
      </c>
      <c r="AC138" s="319" t="str">
        <f>VLOOKUP(B1,Rilevazione!B30:AF41,27,0)</f>
        <v/>
      </c>
      <c r="AD138" s="319" t="str">
        <f>VLOOKUP(B1,Rilevazione!B30:AF41,28,0)</f>
        <v/>
      </c>
      <c r="AE138" s="319" t="str">
        <f>VLOOKUP(B1,Rilevazione!B30:AF41,29,0)</f>
        <v/>
      </c>
      <c r="AF138" s="319" t="str">
        <f>VLOOKUP(B1,Rilevazione!B30:AF41,30,0)</f>
        <v/>
      </c>
      <c r="AG138" s="319" t="str">
        <f>VLOOKUP(B1,Rilevazione!B30:AF41,31,0)</f>
        <v/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.38"/>
    <col customWidth="1" min="3" max="4" width="4.25"/>
    <col customWidth="1" min="5" max="5" width="3.0"/>
    <col customWidth="1" min="6" max="8" width="4.25"/>
    <col customWidth="1" min="9" max="9" width="3.13"/>
    <col customWidth="1" min="10" max="11" width="4.25"/>
    <col customWidth="1" min="12" max="12" width="2.88"/>
    <col customWidth="1" min="13" max="13" width="7.5"/>
    <col customWidth="1" min="14" max="19" width="4.25"/>
    <col customWidth="1" min="20" max="20" width="5.38"/>
    <col customWidth="1" min="21" max="33" width="4.25"/>
    <col customWidth="1" min="34" max="34" width="7.0"/>
    <col customWidth="1" min="35" max="43" width="9.5"/>
  </cols>
  <sheetData>
    <row r="1" ht="12.75" customHeight="1">
      <c r="A1" s="78"/>
      <c r="B1" s="331" t="str">
        <f>Atleti!B17</f>
        <v/>
      </c>
      <c r="C1" s="332" t="str">
        <f>Atleti!D17</f>
        <v/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</row>
    <row r="2" ht="12.75" customHeight="1">
      <c r="A2" s="224"/>
      <c r="B2" s="225"/>
      <c r="C2" s="218"/>
      <c r="D2" s="218"/>
      <c r="E2" s="218"/>
      <c r="F2" s="218"/>
      <c r="G2" s="218"/>
      <c r="H2" s="218"/>
      <c r="J2" s="225"/>
      <c r="K2" s="218"/>
      <c r="L2" s="218"/>
      <c r="M2" s="224" t="s">
        <v>199</v>
      </c>
      <c r="N2" s="225"/>
      <c r="O2" s="218"/>
      <c r="P2" s="218"/>
      <c r="Q2" s="218"/>
      <c r="R2" s="218"/>
      <c r="S2" s="218"/>
      <c r="T2" s="218"/>
      <c r="U2" s="225"/>
      <c r="V2" s="225"/>
      <c r="W2" s="225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8"/>
      <c r="AP2" s="218"/>
      <c r="AQ2" s="218"/>
    </row>
    <row r="3" ht="12.75" customHeight="1">
      <c r="A3" s="224" t="s">
        <v>123</v>
      </c>
      <c r="B3" s="225"/>
      <c r="C3" s="218"/>
      <c r="D3" s="218"/>
      <c r="E3" s="218"/>
      <c r="F3" s="218"/>
      <c r="G3" s="218"/>
      <c r="H3" s="218"/>
      <c r="J3" s="225"/>
      <c r="K3" s="218"/>
      <c r="L3" s="218"/>
      <c r="M3" s="218"/>
      <c r="N3" s="250" t="s">
        <v>80</v>
      </c>
      <c r="O3" s="251"/>
      <c r="P3" s="251"/>
      <c r="Q3" s="251"/>
      <c r="R3" s="251"/>
      <c r="S3" s="251"/>
      <c r="T3" s="218"/>
      <c r="U3" s="225"/>
      <c r="V3" s="225"/>
      <c r="W3" s="225" t="s">
        <v>82</v>
      </c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</row>
    <row r="4" ht="12.75" customHeight="1">
      <c r="A4" s="218"/>
      <c r="B4" s="250" t="s">
        <v>80</v>
      </c>
      <c r="C4" s="251"/>
      <c r="D4" s="251"/>
      <c r="E4" s="251"/>
      <c r="F4" s="251"/>
      <c r="G4" s="251"/>
      <c r="H4" s="218"/>
      <c r="J4" s="250" t="s">
        <v>82</v>
      </c>
      <c r="K4" s="251"/>
      <c r="L4" s="218"/>
      <c r="M4" s="252"/>
      <c r="N4" s="253" t="s">
        <v>31</v>
      </c>
      <c r="O4" s="253" t="s">
        <v>70</v>
      </c>
      <c r="P4" s="253" t="s">
        <v>32</v>
      </c>
      <c r="Q4" s="253" t="s">
        <v>68</v>
      </c>
      <c r="R4" s="253" t="s">
        <v>73</v>
      </c>
      <c r="S4" s="300" t="s">
        <v>71</v>
      </c>
      <c r="T4" s="253" t="s">
        <v>84</v>
      </c>
      <c r="U4" s="301"/>
      <c r="V4" s="301"/>
      <c r="W4" s="301" t="s">
        <v>47</v>
      </c>
      <c r="X4" s="301" t="s">
        <v>93</v>
      </c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</row>
    <row r="5" ht="12.75" customHeight="1">
      <c r="A5" s="252"/>
      <c r="B5" s="253" t="s">
        <v>31</v>
      </c>
      <c r="C5" s="253" t="s">
        <v>70</v>
      </c>
      <c r="D5" s="253" t="s">
        <v>32</v>
      </c>
      <c r="E5" s="254" t="s">
        <v>68</v>
      </c>
      <c r="F5" s="253" t="s">
        <v>73</v>
      </c>
      <c r="G5" s="253" t="s">
        <v>71</v>
      </c>
      <c r="H5" s="253" t="s">
        <v>84</v>
      </c>
      <c r="J5" s="253" t="s">
        <v>47</v>
      </c>
      <c r="K5" s="253" t="s">
        <v>93</v>
      </c>
      <c r="L5" s="279"/>
      <c r="M5" s="252"/>
      <c r="N5" s="255">
        <f>COUNTIF(B136:AG136,N4)</f>
        <v>0</v>
      </c>
      <c r="O5" s="255">
        <f>COUNTIF(B136:AG136,O4)</f>
        <v>0</v>
      </c>
      <c r="P5" s="255">
        <f t="shared" ref="P5:Q5" si="1">COUNTIF(B136:AG136,P4)</f>
        <v>0</v>
      </c>
      <c r="Q5" s="255">
        <f t="shared" si="1"/>
        <v>0</v>
      </c>
      <c r="R5" s="255">
        <f>COUNTIF(B136:AG136,R4)</f>
        <v>0</v>
      </c>
      <c r="S5" s="256">
        <f>COUNTIF(B136:AG136,S4)</f>
        <v>0</v>
      </c>
      <c r="T5" s="255">
        <f t="shared" ref="T5:T6" si="3">SUM(N5:S5)</f>
        <v>0</v>
      </c>
      <c r="U5" s="302"/>
      <c r="V5" s="302"/>
      <c r="W5" s="302">
        <f>COUNTIF(B136:AG136,W4)</f>
        <v>0</v>
      </c>
      <c r="X5" s="302">
        <f>COUNTIF(B136:AG136,X4)</f>
        <v>0</v>
      </c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</row>
    <row r="6" ht="12.75" customHeight="1">
      <c r="A6" s="252"/>
      <c r="B6" s="255">
        <f>COUNTIF(B136:AG140,B5)</f>
        <v>0</v>
      </c>
      <c r="C6" s="255">
        <f>COUNTIF(B136:AG140,C5)</f>
        <v>0</v>
      </c>
      <c r="D6" s="256">
        <f>COUNTIF(B136:AG140,D5)</f>
        <v>0</v>
      </c>
      <c r="E6" s="257">
        <f>COUNTIF(B136:AG140,E5)</f>
        <v>0</v>
      </c>
      <c r="F6" s="258">
        <f>COUNTIF(B136:AG140,F5)</f>
        <v>0</v>
      </c>
      <c r="G6" s="255">
        <f>COUNTIF(B136:AG140,G5)</f>
        <v>0</v>
      </c>
      <c r="H6" s="255">
        <f t="shared" ref="H6:H7" si="4">SUM(B6:G6)</f>
        <v>0</v>
      </c>
      <c r="J6" s="255">
        <f>COUNTIF(B136:AG140,J5)</f>
        <v>0</v>
      </c>
      <c r="K6" s="255">
        <f>COUNTIF(B136:AG140,K5)</f>
        <v>0</v>
      </c>
      <c r="L6" s="279"/>
      <c r="M6" s="252"/>
      <c r="N6" s="262">
        <f>IF(T5&gt;0,N5/T5,0)</f>
        <v>0</v>
      </c>
      <c r="O6" s="262">
        <f>IF(T5&gt;0,O5/T5,0)</f>
        <v>0</v>
      </c>
      <c r="P6" s="262">
        <f t="shared" ref="P6:Q6" si="2">IF(T5&gt;0,P5/T5,0)</f>
        <v>0</v>
      </c>
      <c r="Q6" s="262">
        <f t="shared" si="2"/>
        <v>0</v>
      </c>
      <c r="R6" s="262">
        <f>IF(T5&gt;0,R5/T5,0)</f>
        <v>0</v>
      </c>
      <c r="S6" s="303">
        <f>IF(T5&gt;0,S5/T5,0)</f>
        <v>0</v>
      </c>
      <c r="T6" s="264">
        <f t="shared" si="3"/>
        <v>0</v>
      </c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</row>
    <row r="7" ht="12.75" customHeight="1">
      <c r="A7" s="252"/>
      <c r="B7" s="262">
        <f>IF(H6&gt;0,B6/H6,0)</f>
        <v>0</v>
      </c>
      <c r="C7" s="262">
        <f>IF(H6&gt;0,C6/H6,0)</f>
        <v>0</v>
      </c>
      <c r="D7" s="262">
        <f>IF(H6&gt;0,D6/H6,0)</f>
        <v>0</v>
      </c>
      <c r="E7" s="263">
        <f>IF(H6&gt;0,E6/H6,0)</f>
        <v>0</v>
      </c>
      <c r="F7" s="262">
        <f>IF(F6&gt;0,F6/H6,0)</f>
        <v>0</v>
      </c>
      <c r="G7" s="262">
        <f>IF(G6&gt;0,G6/H6,0)</f>
        <v>0</v>
      </c>
      <c r="H7" s="264">
        <f t="shared" si="4"/>
        <v>0</v>
      </c>
      <c r="J7" s="267"/>
      <c r="K7" s="267"/>
      <c r="L7" s="218"/>
      <c r="M7" s="243" t="s">
        <v>127</v>
      </c>
      <c r="N7" s="266">
        <f>IF(T5&gt;0,(N5-S5)/T5,0)</f>
        <v>0</v>
      </c>
      <c r="O7" s="267"/>
      <c r="P7" s="268"/>
      <c r="Q7" s="268"/>
      <c r="R7" s="268"/>
      <c r="S7" s="267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</row>
    <row r="8" ht="12.75" customHeight="1">
      <c r="A8" s="243" t="s">
        <v>127</v>
      </c>
      <c r="B8" s="266">
        <f>IF(H6&gt;0,(B6-G6)/H6,0)</f>
        <v>0</v>
      </c>
      <c r="C8" s="267"/>
      <c r="D8" s="268"/>
      <c r="E8" s="268"/>
      <c r="F8" s="268"/>
      <c r="G8" s="267"/>
      <c r="H8" s="218"/>
      <c r="J8" s="284" t="s">
        <v>61</v>
      </c>
      <c r="K8" s="285">
        <f>COUNTIF(B136:AG140,J8)</f>
        <v>0</v>
      </c>
      <c r="L8" s="218"/>
      <c r="M8" s="243" t="s">
        <v>120</v>
      </c>
      <c r="N8" s="271">
        <f>IF(T5&gt;0,(N5+O5+P5)/T5,0)</f>
        <v>0</v>
      </c>
      <c r="O8" s="272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</row>
    <row r="9" ht="12.75" customHeight="1">
      <c r="A9" s="243" t="s">
        <v>120</v>
      </c>
      <c r="B9" s="271">
        <f>IF(H6&gt;0,(B6+C6+D6)/H6,0)</f>
        <v>0</v>
      </c>
      <c r="C9" s="272"/>
      <c r="D9" s="218"/>
      <c r="E9" s="218"/>
      <c r="F9" s="218"/>
      <c r="G9" s="218"/>
      <c r="H9" s="218"/>
      <c r="J9" s="218"/>
      <c r="K9" s="218"/>
      <c r="L9" s="218"/>
      <c r="M9" s="218"/>
      <c r="N9" s="276"/>
      <c r="O9" s="272"/>
      <c r="P9" s="218"/>
      <c r="Q9" s="218"/>
      <c r="R9" s="218"/>
      <c r="S9" s="218"/>
      <c r="T9" s="218"/>
      <c r="U9" s="225"/>
      <c r="V9" s="225"/>
      <c r="W9" s="225" t="s">
        <v>124</v>
      </c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</row>
    <row r="10" ht="12.75" customHeight="1">
      <c r="A10" s="218"/>
      <c r="B10" s="276"/>
      <c r="C10" s="272"/>
      <c r="D10" s="218"/>
      <c r="E10" s="218"/>
      <c r="F10" s="218"/>
      <c r="G10" s="218"/>
      <c r="H10" s="218"/>
      <c r="J10" s="225" t="s">
        <v>124</v>
      </c>
      <c r="K10" s="218"/>
      <c r="L10" s="218"/>
      <c r="M10" s="218"/>
      <c r="N10" s="250" t="s">
        <v>79</v>
      </c>
      <c r="O10" s="251"/>
      <c r="P10" s="251"/>
      <c r="Q10" s="251"/>
      <c r="R10" s="251"/>
      <c r="S10" s="251"/>
      <c r="T10" s="218"/>
      <c r="U10" s="260"/>
      <c r="V10" s="260"/>
      <c r="W10" s="260" t="s">
        <v>78</v>
      </c>
      <c r="X10" s="261">
        <f>N12+N19+W5</f>
        <v>0</v>
      </c>
      <c r="Y10" s="218"/>
      <c r="Z10" s="218"/>
      <c r="AA10" s="218"/>
      <c r="AB10" s="218"/>
      <c r="AC10" s="218"/>
      <c r="AD10" s="218"/>
      <c r="AE10" s="218"/>
      <c r="AF10" s="218"/>
      <c r="AG10" s="218"/>
      <c r="AH10" s="218"/>
      <c r="AI10" s="218"/>
      <c r="AJ10" s="218"/>
      <c r="AK10" s="218"/>
      <c r="AL10" s="218"/>
      <c r="AM10" s="218"/>
      <c r="AN10" s="218"/>
      <c r="AO10" s="218"/>
      <c r="AP10" s="218"/>
      <c r="AQ10" s="218"/>
    </row>
    <row r="11" ht="12.75" customHeight="1">
      <c r="A11" s="218"/>
      <c r="B11" s="250" t="s">
        <v>79</v>
      </c>
      <c r="C11" s="251"/>
      <c r="D11" s="251"/>
      <c r="E11" s="251"/>
      <c r="F11" s="251"/>
      <c r="G11" s="251"/>
      <c r="H11" s="218"/>
      <c r="J11" s="260" t="s">
        <v>78</v>
      </c>
      <c r="K11" s="261">
        <f>B13+B20+J6</f>
        <v>0</v>
      </c>
      <c r="L11" s="218"/>
      <c r="M11" s="252"/>
      <c r="N11" s="253" t="s">
        <v>48</v>
      </c>
      <c r="O11" s="253" t="s">
        <v>26</v>
      </c>
      <c r="P11" s="253" t="s">
        <v>57</v>
      </c>
      <c r="Q11" s="253" t="s">
        <v>46</v>
      </c>
      <c r="R11" s="253" t="s">
        <v>75</v>
      </c>
      <c r="S11" s="253" t="s">
        <v>29</v>
      </c>
      <c r="T11" s="253" t="s">
        <v>84</v>
      </c>
      <c r="U11" s="260"/>
      <c r="V11" s="260"/>
      <c r="W11" s="260" t="s">
        <v>125</v>
      </c>
      <c r="X11" s="261">
        <f>S19+S12</f>
        <v>0</v>
      </c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</row>
    <row r="12" ht="12.75" customHeight="1">
      <c r="A12" s="252"/>
      <c r="B12" s="253" t="s">
        <v>48</v>
      </c>
      <c r="C12" s="299" t="s">
        <v>75</v>
      </c>
      <c r="D12" s="299" t="s">
        <v>26</v>
      </c>
      <c r="E12" s="333" t="s">
        <v>57</v>
      </c>
      <c r="F12" s="299" t="s">
        <v>46</v>
      </c>
      <c r="G12" s="253" t="s">
        <v>29</v>
      </c>
      <c r="H12" s="253" t="s">
        <v>84</v>
      </c>
      <c r="J12" s="260" t="s">
        <v>125</v>
      </c>
      <c r="K12" s="261">
        <f>G20+G13+K6+K8</f>
        <v>0</v>
      </c>
      <c r="L12" s="218"/>
      <c r="M12" s="252"/>
      <c r="N12" s="255">
        <f>COUNTIF(B136:AG136,N11)</f>
        <v>0</v>
      </c>
      <c r="O12" s="255">
        <f>COUNTIF(B136:AG136,O11)</f>
        <v>0</v>
      </c>
      <c r="P12" s="255">
        <f t="shared" ref="P12:Q12" si="5">COUNTIF(B136:AG136,P11)</f>
        <v>0</v>
      </c>
      <c r="Q12" s="255">
        <f t="shared" si="5"/>
        <v>0</v>
      </c>
      <c r="R12" s="255">
        <f>COUNTIF(B136:AG136,R11)</f>
        <v>0</v>
      </c>
      <c r="S12" s="255">
        <f>COUNTIF(B136:AG136,S11)</f>
        <v>0</v>
      </c>
      <c r="T12" s="255">
        <f t="shared" ref="T12:T13" si="8">SUM(N12:S12)</f>
        <v>0</v>
      </c>
      <c r="U12" s="260"/>
      <c r="V12" s="260"/>
      <c r="W12" s="260" t="s">
        <v>130</v>
      </c>
      <c r="X12" s="261">
        <f>S5</f>
        <v>0</v>
      </c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</row>
    <row r="13" ht="12.75" customHeight="1">
      <c r="A13" s="252"/>
      <c r="B13" s="255">
        <f>COUNTIF(B136:AG140,B12)</f>
        <v>0</v>
      </c>
      <c r="C13" s="255">
        <f>COUNTIF(B136:AG140,C12)</f>
        <v>0</v>
      </c>
      <c r="D13" s="255">
        <f t="shared" ref="D13:E13" si="6">COUNTIF(B136:AG140,D12)</f>
        <v>0</v>
      </c>
      <c r="E13" s="255">
        <f t="shared" si="6"/>
        <v>0</v>
      </c>
      <c r="F13" s="255">
        <f>COUNTIF(B136:AG140,F12)</f>
        <v>0</v>
      </c>
      <c r="G13" s="255">
        <f>COUNTIF(B136:AG140,G12)</f>
        <v>0</v>
      </c>
      <c r="H13" s="255">
        <f t="shared" ref="H13:H14" si="10">SUM(B13:G13)</f>
        <v>0</v>
      </c>
      <c r="J13" s="260" t="s">
        <v>130</v>
      </c>
      <c r="K13" s="261">
        <f>G6</f>
        <v>0</v>
      </c>
      <c r="L13" s="218"/>
      <c r="M13" s="252"/>
      <c r="N13" s="262">
        <f>IF(T12&gt;0,N12/T12,0)</f>
        <v>0</v>
      </c>
      <c r="O13" s="262">
        <f>IF(S2&gt;0,O12/T12,0)</f>
        <v>0</v>
      </c>
      <c r="P13" s="262">
        <f t="shared" ref="P13:Q13" si="7">IF(T12&gt;0,P12/T12,0)</f>
        <v>0</v>
      </c>
      <c r="Q13" s="262">
        <f t="shared" si="7"/>
        <v>0</v>
      </c>
      <c r="R13" s="262">
        <f>IF(S2&gt;0,R12/T12,0)</f>
        <v>0</v>
      </c>
      <c r="S13" s="262">
        <f>IF(S2&gt;0,S12/T12,0)</f>
        <v>0</v>
      </c>
      <c r="T13" s="262">
        <f t="shared" si="8"/>
        <v>0</v>
      </c>
      <c r="U13" s="260"/>
      <c r="V13" s="260"/>
      <c r="W13" s="260" t="s">
        <v>133</v>
      </c>
      <c r="X13" s="261">
        <f>R19</f>
        <v>0</v>
      </c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</row>
    <row r="14" ht="12.75" customHeight="1">
      <c r="A14" s="252"/>
      <c r="B14" s="262">
        <f>IF(H13&gt;0,B13/H13,0)</f>
        <v>0</v>
      </c>
      <c r="C14" s="262">
        <f>IF(H13&gt;0,C13/H13,0)</f>
        <v>0</v>
      </c>
      <c r="D14" s="262">
        <f t="shared" ref="D14:E14" si="9">IF(H13&gt;0,D13/H13,0)</f>
        <v>0</v>
      </c>
      <c r="E14" s="262">
        <f t="shared" si="9"/>
        <v>0</v>
      </c>
      <c r="F14" s="262">
        <f>IF(H13&gt;0,F13/H13,0)</f>
        <v>0</v>
      </c>
      <c r="G14" s="262">
        <f>IF(H13&gt;0,G13/H13,0)</f>
        <v>0</v>
      </c>
      <c r="H14" s="262">
        <f t="shared" si="10"/>
        <v>0</v>
      </c>
      <c r="J14" s="260" t="s">
        <v>133</v>
      </c>
      <c r="K14" s="261">
        <f>F20</f>
        <v>0</v>
      </c>
      <c r="L14" s="218"/>
      <c r="M14" s="243" t="s">
        <v>127</v>
      </c>
      <c r="N14" s="266">
        <f>IF(T12&gt;0,(N12-S12)/T12,0)</f>
        <v>0</v>
      </c>
      <c r="O14" s="267"/>
      <c r="P14" s="267"/>
      <c r="Q14" s="267"/>
      <c r="R14" s="267"/>
      <c r="S14" s="267"/>
      <c r="T14" s="218"/>
      <c r="U14" s="260"/>
      <c r="V14" s="260"/>
      <c r="W14" s="260" t="s">
        <v>137</v>
      </c>
      <c r="X14" s="277">
        <f>N7</f>
        <v>0</v>
      </c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218"/>
      <c r="AP14" s="218"/>
      <c r="AQ14" s="218"/>
    </row>
    <row r="15" ht="12.75" customHeight="1">
      <c r="A15" s="243" t="s">
        <v>127</v>
      </c>
      <c r="B15" s="266">
        <f>IF(H13&gt;0,(B13-G13)/H13,0)</f>
        <v>0</v>
      </c>
      <c r="C15" s="267"/>
      <c r="D15" s="267"/>
      <c r="E15" s="267"/>
      <c r="F15" s="267"/>
      <c r="G15" s="267"/>
      <c r="H15" s="218"/>
      <c r="J15" s="260" t="s">
        <v>137</v>
      </c>
      <c r="K15" s="277">
        <f>B8</f>
        <v>0</v>
      </c>
      <c r="L15" s="218"/>
      <c r="M15" s="243" t="s">
        <v>120</v>
      </c>
      <c r="N15" s="271">
        <f>IF(T12&gt;0,(N12+O12)/T12,0)</f>
        <v>0</v>
      </c>
      <c r="O15" s="218"/>
      <c r="P15" s="218"/>
      <c r="Q15" s="218"/>
      <c r="R15" s="218"/>
      <c r="S15" s="218"/>
      <c r="T15" s="218"/>
      <c r="U15" s="260"/>
      <c r="V15" s="260"/>
      <c r="W15" s="260" t="s">
        <v>141</v>
      </c>
      <c r="X15" s="277">
        <f>N21</f>
        <v>0</v>
      </c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</row>
    <row r="16" ht="12.75" customHeight="1">
      <c r="A16" s="243" t="s">
        <v>171</v>
      </c>
      <c r="B16" s="271">
        <f>IF(H13&gt;0,(B13+C13)/H13,0)</f>
        <v>0</v>
      </c>
      <c r="C16" s="218"/>
      <c r="D16" s="218"/>
      <c r="E16" s="218"/>
      <c r="F16" s="218"/>
      <c r="G16" s="218"/>
      <c r="H16" s="218"/>
      <c r="J16" s="260" t="s">
        <v>141</v>
      </c>
      <c r="K16" s="277">
        <f>B22</f>
        <v>0</v>
      </c>
      <c r="L16" s="218"/>
      <c r="M16" s="218"/>
      <c r="N16" s="27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218"/>
      <c r="AP16" s="218"/>
      <c r="AQ16" s="218"/>
    </row>
    <row r="17" ht="12.75" customHeight="1">
      <c r="A17" s="218"/>
      <c r="B17" s="276"/>
      <c r="C17" s="218"/>
      <c r="D17" s="218"/>
      <c r="E17" s="218"/>
      <c r="F17" s="218"/>
      <c r="G17" s="218"/>
      <c r="H17" s="218"/>
      <c r="J17" s="218" t="s">
        <v>85</v>
      </c>
      <c r="K17" s="249">
        <f>K11-K12-K13</f>
        <v>0</v>
      </c>
      <c r="L17" s="218"/>
      <c r="M17" s="218"/>
      <c r="N17" s="250" t="s">
        <v>81</v>
      </c>
      <c r="O17" s="251"/>
      <c r="P17" s="251"/>
      <c r="Q17" s="251"/>
      <c r="R17" s="251"/>
      <c r="S17" s="251"/>
      <c r="T17" s="251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</row>
    <row r="18" ht="12.75" customHeight="1">
      <c r="A18" s="218"/>
      <c r="B18" s="250" t="s">
        <v>81</v>
      </c>
      <c r="C18" s="251"/>
      <c r="D18" s="251"/>
      <c r="E18" s="251"/>
      <c r="F18" s="251"/>
      <c r="G18" s="251"/>
      <c r="H18" s="251"/>
      <c r="J18" s="218"/>
      <c r="K18" s="218"/>
      <c r="L18" s="218"/>
      <c r="M18" s="252"/>
      <c r="N18" s="253" t="s">
        <v>28</v>
      </c>
      <c r="O18" s="253" t="s">
        <v>51</v>
      </c>
      <c r="P18" s="253" t="s">
        <v>74</v>
      </c>
      <c r="Q18" s="253" t="s">
        <v>69</v>
      </c>
      <c r="R18" s="253" t="s">
        <v>76</v>
      </c>
      <c r="S18" s="253" t="s">
        <v>54</v>
      </c>
      <c r="T18" s="253" t="s">
        <v>84</v>
      </c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</row>
    <row r="19" ht="12.75" customHeight="1">
      <c r="A19" s="252"/>
      <c r="B19" s="253" t="s">
        <v>28</v>
      </c>
      <c r="C19" s="253" t="s">
        <v>51</v>
      </c>
      <c r="D19" s="253" t="s">
        <v>74</v>
      </c>
      <c r="E19" s="253" t="s">
        <v>69</v>
      </c>
      <c r="F19" s="253" t="s">
        <v>76</v>
      </c>
      <c r="G19" s="253" t="s">
        <v>54</v>
      </c>
      <c r="H19" s="253" t="s">
        <v>84</v>
      </c>
      <c r="J19" s="218"/>
      <c r="K19" s="218"/>
      <c r="L19" s="218"/>
      <c r="M19" s="252"/>
      <c r="N19" s="255">
        <f>COUNTIF(B136:AG136,N18)</f>
        <v>0</v>
      </c>
      <c r="O19" s="255">
        <f>COUNTIF(B136:AG136,O18)</f>
        <v>0</v>
      </c>
      <c r="P19" s="255">
        <f>COUNTIF(B136:AG136,P18)</f>
        <v>0</v>
      </c>
      <c r="Q19" s="255">
        <f>COUNTIF(B136:AG136,Q18)</f>
        <v>0</v>
      </c>
      <c r="R19" s="255">
        <f>COUNTIF(B136:AG136,R18)</f>
        <v>0</v>
      </c>
      <c r="S19" s="255">
        <f>COUNTIF(B136:AG136,S18)</f>
        <v>0</v>
      </c>
      <c r="T19" s="255">
        <f t="shared" ref="T19:T20" si="11">SUM(N19:S19)</f>
        <v>0</v>
      </c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</row>
    <row r="20" ht="12.75" customHeight="1">
      <c r="A20" s="252"/>
      <c r="B20" s="255">
        <f>COUNTIF(B136:AG140,B19)</f>
        <v>0</v>
      </c>
      <c r="C20" s="255">
        <f>COUNTIF(B136:AG140,C19)</f>
        <v>0</v>
      </c>
      <c r="D20" s="255">
        <f>COUNTIF(B136:AG140,D19)</f>
        <v>0</v>
      </c>
      <c r="E20" s="255">
        <f>COUNTIF(B136:AG140,E19)</f>
        <v>0</v>
      </c>
      <c r="F20" s="255">
        <f>COUNTIF(B136:AG140,F19)</f>
        <v>0</v>
      </c>
      <c r="G20" s="255">
        <f>COUNTIF(B136:AG140,G19)</f>
        <v>0</v>
      </c>
      <c r="H20" s="255">
        <f t="shared" ref="H20:H21" si="12">SUM(B20:G20)</f>
        <v>0</v>
      </c>
      <c r="J20" s="218"/>
      <c r="K20" s="218"/>
      <c r="L20" s="218"/>
      <c r="M20" s="252"/>
      <c r="N20" s="262">
        <f>IF(T19&gt;0,N19/T19,0)</f>
        <v>0</v>
      </c>
      <c r="O20" s="262">
        <f>IF(T19&gt;0,O19/T19,0)</f>
        <v>0</v>
      </c>
      <c r="P20" s="262">
        <f>IF(T19&gt;0,P19/T19,0)</f>
        <v>0</v>
      </c>
      <c r="Q20" s="262">
        <f>IF(T19&gt;0,Q19/T19,0)</f>
        <v>0</v>
      </c>
      <c r="R20" s="262">
        <f>IF(T19&gt;0,R19/T19,0)</f>
        <v>0</v>
      </c>
      <c r="S20" s="262">
        <f>IF(T19&gt;0,S19/T19,0)</f>
        <v>0</v>
      </c>
      <c r="T20" s="262">
        <f t="shared" si="11"/>
        <v>0</v>
      </c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</row>
    <row r="21" ht="12.75" customHeight="1">
      <c r="A21" s="252"/>
      <c r="B21" s="262">
        <f>IF(H20&gt;0,B20/H20,0)</f>
        <v>0</v>
      </c>
      <c r="C21" s="262">
        <f>IF(H20&gt;0,C20/H20,0)</f>
        <v>0</v>
      </c>
      <c r="D21" s="262">
        <f>IF(H20&gt;0,D20/H20,0)</f>
        <v>0</v>
      </c>
      <c r="E21" s="262">
        <f>IF(H20&gt;0,E20/H20,0)</f>
        <v>0</v>
      </c>
      <c r="F21" s="262">
        <f>IF(H20&gt;0,F20/H20,0)</f>
        <v>0</v>
      </c>
      <c r="G21" s="262">
        <f>IF(H20&gt;0,G20/H20,0)</f>
        <v>0</v>
      </c>
      <c r="H21" s="262">
        <f t="shared" si="12"/>
        <v>0</v>
      </c>
      <c r="J21" s="218"/>
      <c r="K21" s="218"/>
      <c r="L21" s="218"/>
      <c r="M21" s="243" t="s">
        <v>127</v>
      </c>
      <c r="N21" s="269">
        <f>IF(T19&gt;0,(N19-S19)/T19,0)</f>
        <v>0</v>
      </c>
      <c r="O21" s="267"/>
      <c r="P21" s="267"/>
      <c r="Q21" s="267"/>
      <c r="R21" s="267"/>
      <c r="S21" s="267"/>
      <c r="T21" s="267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</row>
    <row r="22" ht="12.75" customHeight="1">
      <c r="A22" s="243" t="s">
        <v>127</v>
      </c>
      <c r="B22" s="269">
        <f>IF(H20&gt;0,(B20-G20)/H20,0)</f>
        <v>0</v>
      </c>
      <c r="C22" s="267"/>
      <c r="D22" s="267"/>
      <c r="E22" s="267"/>
      <c r="F22" s="267"/>
      <c r="G22" s="267"/>
      <c r="H22" s="267"/>
      <c r="J22" s="218"/>
      <c r="K22" s="218"/>
      <c r="L22" s="218"/>
      <c r="M22" s="243" t="s">
        <v>120</v>
      </c>
      <c r="N22" s="244">
        <f>IF(T19&gt;0,(N19+O19+P19+Q19)/T19,0)</f>
        <v>0</v>
      </c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</row>
    <row r="23" ht="12.75" customHeight="1">
      <c r="A23" s="243" t="s">
        <v>120</v>
      </c>
      <c r="B23" s="244">
        <f>IF(H20&gt;0,(B20+C20+D20+E20)/H20,0)</f>
        <v>0</v>
      </c>
      <c r="C23" s="218"/>
      <c r="D23" s="218"/>
      <c r="E23" s="218"/>
      <c r="F23" s="218"/>
      <c r="G23" s="218"/>
      <c r="H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</row>
    <row r="24" ht="12.75" customHeight="1">
      <c r="A24" s="243"/>
      <c r="B24" s="244"/>
      <c r="C24" s="218"/>
      <c r="D24" s="218"/>
      <c r="E24" s="218"/>
      <c r="F24" s="218"/>
      <c r="G24" s="218"/>
      <c r="H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</row>
    <row r="25" ht="12.75" customHeight="1">
      <c r="A25" s="224" t="s">
        <v>200</v>
      </c>
      <c r="B25" s="250" t="s">
        <v>80</v>
      </c>
      <c r="C25" s="251"/>
      <c r="D25" s="251"/>
      <c r="E25" s="251"/>
      <c r="F25" s="251"/>
      <c r="G25" s="251"/>
      <c r="H25" s="218"/>
      <c r="J25" s="250" t="s">
        <v>82</v>
      </c>
      <c r="K25" s="251"/>
      <c r="L25" s="218"/>
      <c r="M25" s="224" t="s">
        <v>202</v>
      </c>
      <c r="N25" s="250" t="s">
        <v>80</v>
      </c>
      <c r="O25" s="251"/>
      <c r="P25" s="251"/>
      <c r="Q25" s="251"/>
      <c r="R25" s="251"/>
      <c r="S25" s="251"/>
      <c r="T25" s="218"/>
      <c r="U25" s="225"/>
      <c r="V25" s="225"/>
      <c r="W25" s="250" t="s">
        <v>82</v>
      </c>
      <c r="X25" s="251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</row>
    <row r="26" ht="12.75" customHeight="1">
      <c r="A26" s="252"/>
      <c r="B26" s="253" t="s">
        <v>31</v>
      </c>
      <c r="C26" s="253" t="s">
        <v>70</v>
      </c>
      <c r="D26" s="253" t="s">
        <v>32</v>
      </c>
      <c r="E26" s="254" t="s">
        <v>68</v>
      </c>
      <c r="F26" s="253" t="s">
        <v>73</v>
      </c>
      <c r="G26" s="253" t="s">
        <v>71</v>
      </c>
      <c r="H26" s="253" t="s">
        <v>84</v>
      </c>
      <c r="J26" s="253" t="s">
        <v>47</v>
      </c>
      <c r="K26" s="253" t="s">
        <v>93</v>
      </c>
      <c r="L26" s="279"/>
      <c r="M26" s="252"/>
      <c r="N26" s="253" t="s">
        <v>31</v>
      </c>
      <c r="O26" s="253" t="s">
        <v>70</v>
      </c>
      <c r="P26" s="253" t="s">
        <v>32</v>
      </c>
      <c r="Q26" s="253" t="s">
        <v>68</v>
      </c>
      <c r="R26" s="253" t="s">
        <v>73</v>
      </c>
      <c r="S26" s="253" t="s">
        <v>71</v>
      </c>
      <c r="T26" s="300" t="s">
        <v>84</v>
      </c>
      <c r="U26" s="307"/>
      <c r="V26" s="308"/>
      <c r="W26" s="309" t="s">
        <v>47</v>
      </c>
      <c r="X26" s="253" t="s">
        <v>93</v>
      </c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</row>
    <row r="27" ht="12.75" customHeight="1">
      <c r="A27" s="252"/>
      <c r="B27" s="255">
        <f>COUNTIF(B137:AG137,B26)</f>
        <v>0</v>
      </c>
      <c r="C27" s="255">
        <f>COUNTIF(B137:AG137,C26)</f>
        <v>0</v>
      </c>
      <c r="D27" s="255">
        <f t="shared" ref="D27:E27" si="13">COUNTIF(B137:AG137,D26)</f>
        <v>0</v>
      </c>
      <c r="E27" s="255">
        <f t="shared" si="13"/>
        <v>0</v>
      </c>
      <c r="F27" s="255">
        <f>COUNTIF(B137:AG137,F26)</f>
        <v>0</v>
      </c>
      <c r="G27" s="255">
        <f>COUNTIF(B137:AG137,G26)</f>
        <v>0</v>
      </c>
      <c r="H27" s="255">
        <f t="shared" ref="H27:H28" si="16">SUM(B27:G27)</f>
        <v>0</v>
      </c>
      <c r="J27" s="255">
        <f>COUNTIF(B137:AG137,J26)</f>
        <v>0</v>
      </c>
      <c r="K27" s="255">
        <f>COUNTIF(B137:AG137,K26)</f>
        <v>0</v>
      </c>
      <c r="L27" s="279"/>
      <c r="M27" s="252"/>
      <c r="N27" s="255">
        <f>COUNTIF(B138:AG138,N26)</f>
        <v>0</v>
      </c>
      <c r="O27" s="255">
        <f>COUNTIF(B138:AG138,O26)</f>
        <v>0</v>
      </c>
      <c r="P27" s="255">
        <f t="shared" ref="P27:Q27" si="14">COUNTIF(B138:AG138,P26)</f>
        <v>0</v>
      </c>
      <c r="Q27" s="255">
        <f t="shared" si="14"/>
        <v>0</v>
      </c>
      <c r="R27" s="255">
        <f>COUNTIF(B138:AG138,R26)</f>
        <v>0</v>
      </c>
      <c r="S27" s="255">
        <f>COUNTIF(B138:AG138,S26)</f>
        <v>0</v>
      </c>
      <c r="T27" s="256">
        <f t="shared" ref="T27:T28" si="18">SUM(N27:S27)</f>
        <v>0</v>
      </c>
      <c r="U27" s="310"/>
      <c r="V27" s="311"/>
      <c r="W27" s="258">
        <f>COUNTIF(B138:AG138,W26)</f>
        <v>0</v>
      </c>
      <c r="X27" s="255">
        <f>COUNTIF(B138:AG138,X26)</f>
        <v>0</v>
      </c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</row>
    <row r="28" ht="12.75" customHeight="1">
      <c r="A28" s="252"/>
      <c r="B28" s="262">
        <f>IF(H27&gt;0,B27/H27,0)</f>
        <v>0</v>
      </c>
      <c r="C28" s="262">
        <f>IF(H27&gt;0,C27/H27,0)</f>
        <v>0</v>
      </c>
      <c r="D28" s="262">
        <f t="shared" ref="D28:E28" si="15">IF(H27&gt;0,D27/H27,0)</f>
        <v>0</v>
      </c>
      <c r="E28" s="262">
        <f t="shared" si="15"/>
        <v>0</v>
      </c>
      <c r="F28" s="262">
        <f>IF(H27&gt;0,F27/H27,0)</f>
        <v>0</v>
      </c>
      <c r="G28" s="262">
        <f>IF(H27&gt;0,G27/H27,0)</f>
        <v>0</v>
      </c>
      <c r="H28" s="264">
        <f t="shared" si="16"/>
        <v>0</v>
      </c>
      <c r="J28" s="267"/>
      <c r="K28" s="267"/>
      <c r="L28" s="218"/>
      <c r="M28" s="252"/>
      <c r="N28" s="262">
        <f>IF(T27&gt;0,N27/T27,0)</f>
        <v>0</v>
      </c>
      <c r="O28" s="262">
        <f>IF(T27&gt;0,O27/T27,0)</f>
        <v>0</v>
      </c>
      <c r="P28" s="262">
        <f t="shared" ref="P28:Q28" si="17">IF(T27&gt;0,P27/T27,0)</f>
        <v>0</v>
      </c>
      <c r="Q28" s="262">
        <f t="shared" si="17"/>
        <v>0</v>
      </c>
      <c r="R28" s="262">
        <f>IF(T27&gt;0,R27/T27,0)</f>
        <v>0</v>
      </c>
      <c r="S28" s="262">
        <f>IF(T27&gt;0,S27/T27,0)</f>
        <v>0</v>
      </c>
      <c r="T28" s="264">
        <f t="shared" si="18"/>
        <v>0</v>
      </c>
      <c r="U28" s="218"/>
      <c r="V28" s="218"/>
      <c r="W28" s="267"/>
      <c r="X28" s="267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</row>
    <row r="29" ht="12.75" customHeight="1">
      <c r="A29" s="243" t="s">
        <v>127</v>
      </c>
      <c r="B29" s="266">
        <f>IF(H27&gt;0,(B27-G27)/H27,0)</f>
        <v>0</v>
      </c>
      <c r="C29" s="267"/>
      <c r="D29" s="268"/>
      <c r="E29" s="268"/>
      <c r="F29" s="268"/>
      <c r="G29" s="267"/>
      <c r="H29" s="218"/>
      <c r="J29" s="218"/>
      <c r="K29" s="218"/>
      <c r="L29" s="218"/>
      <c r="M29" s="243" t="s">
        <v>127</v>
      </c>
      <c r="N29" s="266">
        <f>IF(T27&gt;0,(N27-S27)/T27,0)</f>
        <v>0</v>
      </c>
      <c r="O29" s="267"/>
      <c r="P29" s="268"/>
      <c r="Q29" s="268"/>
      <c r="R29" s="268"/>
      <c r="S29" s="26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</row>
    <row r="30" ht="12.75" customHeight="1">
      <c r="A30" s="243" t="s">
        <v>120</v>
      </c>
      <c r="B30" s="271">
        <f>IF(H27&gt;0,(B27+C27+D27)/H27,0)</f>
        <v>0</v>
      </c>
      <c r="C30" s="272"/>
      <c r="D30" s="218"/>
      <c r="E30" s="218"/>
      <c r="F30" s="218"/>
      <c r="G30" s="218"/>
      <c r="H30" s="218"/>
      <c r="J30" s="218"/>
      <c r="K30" s="218"/>
      <c r="L30" s="218"/>
      <c r="M30" s="243" t="s">
        <v>120</v>
      </c>
      <c r="N30" s="271">
        <f>IF(T27&gt;0,(N27+O27+P27)/T27,0)</f>
        <v>0</v>
      </c>
      <c r="O30" s="272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  <c r="AO30" s="218"/>
      <c r="AP30" s="218"/>
      <c r="AQ30" s="218"/>
    </row>
    <row r="31" ht="12.75" customHeight="1">
      <c r="B31" s="276"/>
      <c r="C31" s="272"/>
      <c r="D31" s="218"/>
      <c r="E31" s="218"/>
      <c r="F31" s="218"/>
      <c r="G31" s="218"/>
      <c r="H31" s="218"/>
      <c r="J31" s="225" t="s">
        <v>124</v>
      </c>
      <c r="K31" s="218"/>
      <c r="L31" s="218"/>
      <c r="M31" s="218"/>
      <c r="N31" s="276"/>
      <c r="O31" s="272"/>
      <c r="P31" s="218"/>
      <c r="Q31" s="218"/>
      <c r="R31" s="218"/>
      <c r="S31" s="218"/>
      <c r="T31" s="218"/>
      <c r="U31" s="225"/>
      <c r="V31" s="225"/>
      <c r="W31" s="225" t="s">
        <v>124</v>
      </c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18"/>
      <c r="AM31" s="334" t="s">
        <v>114</v>
      </c>
      <c r="AN31" s="334" t="s">
        <v>115</v>
      </c>
      <c r="AO31" s="218"/>
      <c r="AP31" s="218"/>
      <c r="AQ31" s="218"/>
    </row>
    <row r="32" ht="12.75" customHeight="1">
      <c r="A32" s="218"/>
      <c r="B32" s="250" t="s">
        <v>79</v>
      </c>
      <c r="C32" s="251"/>
      <c r="D32" s="251"/>
      <c r="E32" s="251"/>
      <c r="F32" s="251"/>
      <c r="G32" s="251"/>
      <c r="H32" s="218"/>
      <c r="J32" s="260" t="s">
        <v>78</v>
      </c>
      <c r="K32" s="261">
        <f>B34+B41+J27</f>
        <v>0</v>
      </c>
      <c r="L32" s="218"/>
      <c r="M32" s="218"/>
      <c r="N32" s="250" t="s">
        <v>79</v>
      </c>
      <c r="O32" s="251"/>
      <c r="P32" s="251"/>
      <c r="Q32" s="251"/>
      <c r="R32" s="251"/>
      <c r="S32" s="251"/>
      <c r="T32" s="218"/>
      <c r="U32" s="260"/>
      <c r="V32" s="260"/>
      <c r="W32" s="260" t="s">
        <v>78</v>
      </c>
      <c r="X32" s="261">
        <f>N34+N41+W27</f>
        <v>0</v>
      </c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34" t="s">
        <v>79</v>
      </c>
      <c r="AM32" s="235">
        <f>B13</f>
        <v>0</v>
      </c>
      <c r="AN32" s="236">
        <f>G13</f>
        <v>0</v>
      </c>
      <c r="AO32" s="218"/>
      <c r="AP32" s="218"/>
      <c r="AQ32" s="218"/>
    </row>
    <row r="33" ht="12.75" customHeight="1">
      <c r="A33" s="252"/>
      <c r="B33" s="253" t="s">
        <v>48</v>
      </c>
      <c r="C33" s="253" t="s">
        <v>26</v>
      </c>
      <c r="D33" s="253" t="s">
        <v>57</v>
      </c>
      <c r="E33" s="254" t="s">
        <v>46</v>
      </c>
      <c r="F33" s="253" t="s">
        <v>75</v>
      </c>
      <c r="G33" s="253" t="s">
        <v>29</v>
      </c>
      <c r="H33" s="253" t="s">
        <v>84</v>
      </c>
      <c r="J33" s="260" t="s">
        <v>125</v>
      </c>
      <c r="K33" s="261">
        <f>G41+G34</f>
        <v>0</v>
      </c>
      <c r="L33" s="218"/>
      <c r="M33" s="252"/>
      <c r="N33" s="253" t="s">
        <v>48</v>
      </c>
      <c r="O33" s="253" t="s">
        <v>26</v>
      </c>
      <c r="P33" s="253" t="s">
        <v>57</v>
      </c>
      <c r="Q33" s="253" t="s">
        <v>46</v>
      </c>
      <c r="R33" s="253" t="s">
        <v>75</v>
      </c>
      <c r="S33" s="253" t="s">
        <v>29</v>
      </c>
      <c r="T33" s="253" t="s">
        <v>84</v>
      </c>
      <c r="U33" s="260"/>
      <c r="V33" s="260"/>
      <c r="W33" s="260" t="s">
        <v>125</v>
      </c>
      <c r="X33" s="261">
        <f>S41+S34</f>
        <v>0</v>
      </c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34" t="s">
        <v>81</v>
      </c>
      <c r="AM33" s="235">
        <f>B20</f>
        <v>0</v>
      </c>
      <c r="AN33" s="236">
        <f>G20</f>
        <v>0</v>
      </c>
      <c r="AO33" s="218"/>
      <c r="AP33" s="218"/>
      <c r="AQ33" s="218"/>
    </row>
    <row r="34" ht="12.75" customHeight="1">
      <c r="A34" s="252"/>
      <c r="B34" s="255">
        <f>COUNTIF(B137:AG137,B33)</f>
        <v>0</v>
      </c>
      <c r="C34" s="255">
        <f>COUNTIF(B137:AG137,C33)</f>
        <v>0</v>
      </c>
      <c r="D34" s="255">
        <f>COUNTIF(B137:AG137,D33)</f>
        <v>0</v>
      </c>
      <c r="E34" s="255">
        <f t="shared" ref="E34:F34" si="19">COUNTIF(B137:AG137,E33)</f>
        <v>0</v>
      </c>
      <c r="F34" s="255">
        <f t="shared" si="19"/>
        <v>0</v>
      </c>
      <c r="G34" s="255">
        <f>COUNTIF(B137:AG137,G33)</f>
        <v>0</v>
      </c>
      <c r="H34" s="255">
        <f t="shared" ref="H34:H35" si="23">SUM(B34:G34)</f>
        <v>0</v>
      </c>
      <c r="J34" s="260" t="s">
        <v>130</v>
      </c>
      <c r="K34" s="261">
        <f>G27</f>
        <v>0</v>
      </c>
      <c r="L34" s="218"/>
      <c r="M34" s="252"/>
      <c r="N34" s="255">
        <f>COUNTIF(B138:AG138,N33)</f>
        <v>0</v>
      </c>
      <c r="O34" s="255">
        <f t="shared" ref="O34:P34" si="20">COUNTIF(B138:AG138,O33)</f>
        <v>0</v>
      </c>
      <c r="P34" s="255">
        <f t="shared" si="20"/>
        <v>0</v>
      </c>
      <c r="Q34" s="255">
        <f>COUNTIF(B138:AG138,Q33)</f>
        <v>0</v>
      </c>
      <c r="R34" s="255">
        <f>COUNTIF(B138:AG138,R33)</f>
        <v>0</v>
      </c>
      <c r="S34" s="255">
        <f>COUNTIF(B138:AG138,S33)</f>
        <v>0</v>
      </c>
      <c r="T34" s="255">
        <f>SUM(N34:S34)</f>
        <v>0</v>
      </c>
      <c r="U34" s="260"/>
      <c r="V34" s="260"/>
      <c r="W34" s="260" t="s">
        <v>130</v>
      </c>
      <c r="X34" s="261">
        <f>S27</f>
        <v>0</v>
      </c>
      <c r="Y34" s="218"/>
      <c r="Z34" s="218"/>
      <c r="AA34" s="218"/>
      <c r="AB34" s="218"/>
      <c r="AC34" s="218"/>
      <c r="AD34" s="218"/>
      <c r="AE34" s="218"/>
      <c r="AF34" s="218"/>
      <c r="AG34" s="218"/>
      <c r="AH34" s="218"/>
      <c r="AI34" s="218"/>
      <c r="AJ34" s="218"/>
      <c r="AK34" s="218"/>
      <c r="AL34" s="234" t="s">
        <v>82</v>
      </c>
      <c r="AM34" s="235">
        <f t="shared" ref="AM34:AN34" si="21">J6</f>
        <v>0</v>
      </c>
      <c r="AN34" s="236">
        <f t="shared" si="21"/>
        <v>0</v>
      </c>
      <c r="AO34" s="218"/>
      <c r="AP34" s="218"/>
      <c r="AQ34" s="218"/>
    </row>
    <row r="35" ht="12.75" customHeight="1">
      <c r="B35" s="262">
        <f t="shared" ref="B35:G35" si="22">IF($H$34&gt;0,B34/$H$34,0)</f>
        <v>0</v>
      </c>
      <c r="C35" s="262">
        <f t="shared" si="22"/>
        <v>0</v>
      </c>
      <c r="D35" s="262">
        <f t="shared" si="22"/>
        <v>0</v>
      </c>
      <c r="E35" s="262">
        <f t="shared" si="22"/>
        <v>0</v>
      </c>
      <c r="F35" s="262">
        <f t="shared" si="22"/>
        <v>0</v>
      </c>
      <c r="G35" s="262">
        <f t="shared" si="22"/>
        <v>0</v>
      </c>
      <c r="H35" s="262">
        <f t="shared" si="23"/>
        <v>0</v>
      </c>
      <c r="J35" s="260" t="s">
        <v>137</v>
      </c>
      <c r="K35" s="277">
        <f>B29</f>
        <v>0</v>
      </c>
      <c r="L35" s="252"/>
      <c r="N35" s="262">
        <f>IF($G$69&gt;0,O34/$H$34,0)</f>
        <v>0</v>
      </c>
      <c r="O35" s="262">
        <f t="shared" ref="O35:R35" si="24">IF($G$69&gt;0,Q34/$H$34,0)</f>
        <v>0</v>
      </c>
      <c r="P35" s="262">
        <f t="shared" si="24"/>
        <v>0</v>
      </c>
      <c r="Q35" s="262">
        <f t="shared" si="24"/>
        <v>0</v>
      </c>
      <c r="R35" s="262">
        <f t="shared" si="24"/>
        <v>0</v>
      </c>
      <c r="S35" s="262">
        <f>IF($G$69&gt;0,T34/$H$34,0)</f>
        <v>0</v>
      </c>
      <c r="T35" s="279"/>
      <c r="W35" s="260" t="s">
        <v>137</v>
      </c>
      <c r="X35" s="277">
        <f>N29</f>
        <v>0</v>
      </c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5" t="s">
        <v>117</v>
      </c>
      <c r="AM35" s="233"/>
      <c r="AN35" s="235">
        <f>K8</f>
        <v>0</v>
      </c>
      <c r="AO35" s="218"/>
      <c r="AP35" s="218"/>
      <c r="AQ35" s="218"/>
    </row>
    <row r="36" ht="12.75" customHeight="1">
      <c r="A36" s="243" t="s">
        <v>127</v>
      </c>
      <c r="B36" s="266">
        <f>IF(H34&gt;0,(B34-G34)/H34,0)</f>
        <v>0</v>
      </c>
      <c r="C36" s="267"/>
      <c r="D36" s="267"/>
      <c r="E36" s="267"/>
      <c r="F36" s="267"/>
      <c r="G36" s="267"/>
      <c r="H36" s="218"/>
      <c r="J36" s="260" t="s">
        <v>141</v>
      </c>
      <c r="K36" s="277">
        <f>B43</f>
        <v>0</v>
      </c>
      <c r="L36" s="218"/>
      <c r="M36" s="243" t="s">
        <v>127</v>
      </c>
      <c r="N36" s="266">
        <f>IF(T34&gt;0,(N34-S34)/T34,0)</f>
        <v>0</v>
      </c>
      <c r="O36" s="267"/>
      <c r="P36" s="267"/>
      <c r="Q36" s="267"/>
      <c r="R36" s="267"/>
      <c r="S36" s="267"/>
      <c r="T36" s="218"/>
      <c r="U36" s="260"/>
      <c r="V36" s="260"/>
      <c r="W36" s="260" t="s">
        <v>141</v>
      </c>
      <c r="X36" s="277">
        <f>N43</f>
        <v>0</v>
      </c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34"/>
      <c r="AM36" s="18"/>
      <c r="AO36" s="218"/>
      <c r="AP36" s="218"/>
      <c r="AQ36" s="218"/>
    </row>
    <row r="37" ht="12.75" customHeight="1">
      <c r="A37" s="243" t="s">
        <v>120</v>
      </c>
      <c r="B37" s="271">
        <f>IF(H34&gt;0,(B34+C34)/H34,0)</f>
        <v>0</v>
      </c>
      <c r="C37" s="218"/>
      <c r="D37" s="218"/>
      <c r="E37" s="218"/>
      <c r="F37" s="218"/>
      <c r="G37" s="218"/>
      <c r="H37" s="218"/>
      <c r="I37" s="260" t="s">
        <v>133</v>
      </c>
      <c r="J37" s="261">
        <f>F41</f>
        <v>0</v>
      </c>
      <c r="L37" s="218"/>
      <c r="M37" s="243" t="s">
        <v>120</v>
      </c>
      <c r="N37" s="271">
        <f>IF(T34&gt;0,(N34+O34)/T34,0)</f>
        <v>0</v>
      </c>
      <c r="O37" s="218"/>
      <c r="P37" s="218"/>
      <c r="Q37" s="218"/>
      <c r="R37" s="218"/>
      <c r="S37" s="218"/>
      <c r="T37" s="218"/>
      <c r="U37" s="260" t="s">
        <v>133</v>
      </c>
      <c r="V37" s="260"/>
      <c r="W37" s="261">
        <f>R41</f>
        <v>0</v>
      </c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18"/>
      <c r="AM37" s="18"/>
      <c r="AN37" s="18"/>
      <c r="AO37" s="218"/>
      <c r="AP37" s="218"/>
      <c r="AQ37" s="218"/>
    </row>
    <row r="38" ht="12.75" customHeight="1">
      <c r="A38" s="218"/>
      <c r="B38" s="276"/>
      <c r="C38" s="218"/>
      <c r="D38" s="218"/>
      <c r="E38" s="218"/>
      <c r="F38" s="218"/>
      <c r="G38" s="218"/>
      <c r="H38" s="218"/>
      <c r="K38" s="218"/>
      <c r="L38" s="218"/>
      <c r="M38" s="218"/>
      <c r="N38" s="276"/>
      <c r="O38" s="218"/>
      <c r="P38" s="218"/>
      <c r="Q38" s="218"/>
      <c r="R38" s="218"/>
      <c r="S38" s="218"/>
      <c r="U38" s="261"/>
      <c r="V38" s="261"/>
      <c r="Y38" s="218"/>
      <c r="Z38" s="21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335" t="s">
        <v>116</v>
      </c>
      <c r="AM38" s="12"/>
      <c r="AN38" s="18"/>
      <c r="AO38" s="218"/>
      <c r="AP38" s="218"/>
      <c r="AQ38" s="218"/>
    </row>
    <row r="39" ht="12.75" customHeight="1">
      <c r="B39" s="250" t="s">
        <v>81</v>
      </c>
      <c r="C39" s="251"/>
      <c r="D39" s="251"/>
      <c r="E39" s="251"/>
      <c r="F39" s="251"/>
      <c r="G39" s="251"/>
      <c r="H39" s="251"/>
      <c r="J39" s="218"/>
      <c r="K39" s="218"/>
      <c r="L39" s="218"/>
      <c r="M39" s="218"/>
      <c r="N39" s="250" t="s">
        <v>81</v>
      </c>
      <c r="O39" s="251"/>
      <c r="P39" s="251"/>
      <c r="Q39" s="251"/>
      <c r="R39" s="251"/>
      <c r="S39" s="251"/>
      <c r="T39" s="251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49">
        <f>K17</f>
        <v>0</v>
      </c>
      <c r="AM39" s="218"/>
      <c r="AN39" s="218"/>
      <c r="AO39" s="218"/>
      <c r="AP39" s="218"/>
      <c r="AQ39" s="218"/>
    </row>
    <row r="40" ht="12.75" customHeight="1">
      <c r="A40" s="252"/>
      <c r="B40" s="253" t="s">
        <v>28</v>
      </c>
      <c r="C40" s="253" t="s">
        <v>51</v>
      </c>
      <c r="D40" s="253" t="s">
        <v>74</v>
      </c>
      <c r="E40" s="253" t="s">
        <v>69</v>
      </c>
      <c r="F40" s="253" t="s">
        <v>76</v>
      </c>
      <c r="G40" s="253" t="s">
        <v>54</v>
      </c>
      <c r="H40" s="253" t="s">
        <v>84</v>
      </c>
      <c r="J40" s="218"/>
      <c r="K40" s="218"/>
      <c r="L40" s="218"/>
      <c r="M40" s="252"/>
      <c r="N40" s="253" t="s">
        <v>28</v>
      </c>
      <c r="O40" s="253" t="s">
        <v>51</v>
      </c>
      <c r="P40" s="253" t="s">
        <v>74</v>
      </c>
      <c r="Q40" s="253" t="s">
        <v>69</v>
      </c>
      <c r="R40" s="253" t="s">
        <v>76</v>
      </c>
      <c r="S40" s="253" t="s">
        <v>54</v>
      </c>
      <c r="T40" s="253" t="s">
        <v>84</v>
      </c>
      <c r="U40" s="279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</row>
    <row r="41" ht="12.75" customHeight="1">
      <c r="A41" s="252"/>
      <c r="B41" s="255">
        <f>COUNTIF(B137:AG137,B40)</f>
        <v>0</v>
      </c>
      <c r="C41" s="255">
        <f>COUNTIF(B137:AG137,C40)</f>
        <v>0</v>
      </c>
      <c r="D41" s="255">
        <f>COUNTIF(B137:AG137,D40)</f>
        <v>0</v>
      </c>
      <c r="E41" s="255">
        <f>COUNTIF(B137:AG137,E40)</f>
        <v>0</v>
      </c>
      <c r="F41" s="255">
        <f>COUNTIF(B137:AG137,F40)</f>
        <v>0</v>
      </c>
      <c r="G41" s="255">
        <f>COUNTIF(B137:AG137,G40)</f>
        <v>0</v>
      </c>
      <c r="H41" s="255">
        <f t="shared" ref="H41:H42" si="25">SUM(B41:G41)</f>
        <v>0</v>
      </c>
      <c r="J41" s="218"/>
      <c r="K41" s="218"/>
      <c r="L41" s="218"/>
      <c r="M41" s="252"/>
      <c r="N41" s="255">
        <f>COUNTIF(B138:AG138,N40)</f>
        <v>0</v>
      </c>
      <c r="O41" s="255">
        <f>COUNTIF(B138:AG138,O40)</f>
        <v>0</v>
      </c>
      <c r="P41" s="255">
        <f>COUNTIF(B138:AG138,P40)</f>
        <v>0</v>
      </c>
      <c r="Q41" s="255">
        <f>COUNTIF(B138:AG138,Q40)</f>
        <v>0</v>
      </c>
      <c r="R41" s="255">
        <f>COUNTIF(B138:AG138,R40)</f>
        <v>0</v>
      </c>
      <c r="S41" s="255">
        <f>COUNTIF(B138:AG138,S40)</f>
        <v>0</v>
      </c>
      <c r="T41" s="255">
        <f t="shared" ref="T41:T42" si="26">SUM(N41:S41)</f>
        <v>0</v>
      </c>
      <c r="U41" s="279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</row>
    <row r="42" ht="12.75" customHeight="1">
      <c r="A42" s="252"/>
      <c r="B42" s="262">
        <f>IF(H41&gt;0,B41/H41,0)</f>
        <v>0</v>
      </c>
      <c r="C42" s="262">
        <f>IF(H41&gt;0,C41/H41,0)</f>
        <v>0</v>
      </c>
      <c r="D42" s="262">
        <f>IF(H41&gt;0,D41/H41,0)</f>
        <v>0</v>
      </c>
      <c r="E42" s="262">
        <f>IF(H41&gt;0,E41/H41,0)</f>
        <v>0</v>
      </c>
      <c r="F42" s="262">
        <f>IF(H41&gt;0,F41/H41,0)</f>
        <v>0</v>
      </c>
      <c r="G42" s="262">
        <f>IF(H41&gt;0,G41/H41,0)</f>
        <v>0</v>
      </c>
      <c r="H42" s="262">
        <f t="shared" si="25"/>
        <v>0</v>
      </c>
      <c r="J42" s="218"/>
      <c r="K42" s="218"/>
      <c r="L42" s="218"/>
      <c r="M42" s="252"/>
      <c r="N42" s="262">
        <f>IF(T41&gt;0,N41/T41,0)</f>
        <v>0</v>
      </c>
      <c r="O42" s="262">
        <f>IF(T41&gt;0,O41/T41,0)</f>
        <v>0</v>
      </c>
      <c r="P42" s="262">
        <f>IF(T41&gt;0,P41/T41,0)</f>
        <v>0</v>
      </c>
      <c r="Q42" s="262">
        <f>IF(T41&gt;0,Q41/T41,0)</f>
        <v>0</v>
      </c>
      <c r="R42" s="262">
        <f>IF(T41&gt;0,R41/T41,0)</f>
        <v>0</v>
      </c>
      <c r="S42" s="262">
        <f>IF(T41&gt;0,S41/T41,0)</f>
        <v>0</v>
      </c>
      <c r="T42" s="262">
        <f t="shared" si="26"/>
        <v>0</v>
      </c>
      <c r="U42" s="279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</row>
    <row r="43" ht="12.75" customHeight="1">
      <c r="A43" s="243" t="s">
        <v>127</v>
      </c>
      <c r="B43" s="269">
        <f>IF(H41&gt;0,(B41-G41)/H41,0)</f>
        <v>0</v>
      </c>
      <c r="C43" s="267"/>
      <c r="D43" s="267"/>
      <c r="E43" s="267"/>
      <c r="F43" s="267"/>
      <c r="G43" s="267"/>
      <c r="H43" s="267"/>
      <c r="J43" s="218"/>
      <c r="K43" s="218"/>
      <c r="L43" s="218"/>
      <c r="M43" s="243" t="s">
        <v>127</v>
      </c>
      <c r="N43" s="269">
        <f>IF(T41&gt;0,(N41-S41)/T41,0)</f>
        <v>0</v>
      </c>
      <c r="O43" s="267"/>
      <c r="P43" s="267"/>
      <c r="Q43" s="267"/>
      <c r="R43" s="267"/>
      <c r="S43" s="267"/>
      <c r="T43" s="267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</row>
    <row r="44" ht="12.75" customHeight="1">
      <c r="A44" s="243" t="s">
        <v>120</v>
      </c>
      <c r="B44" s="244">
        <f>IF(H41&gt;0,(B41+C41+D41+E41)/H41,0)</f>
        <v>0</v>
      </c>
      <c r="C44" s="218"/>
      <c r="D44" s="218"/>
      <c r="E44" s="218"/>
      <c r="F44" s="218"/>
      <c r="G44" s="218"/>
      <c r="H44" s="218"/>
      <c r="J44" s="218"/>
      <c r="K44" s="218"/>
      <c r="L44" s="218"/>
      <c r="M44" s="243" t="s">
        <v>120</v>
      </c>
      <c r="N44" s="244">
        <f>IF(T41&gt;0,(N41+O41+P41+Q41)/T41,0)</f>
        <v>0</v>
      </c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218"/>
      <c r="AO44" s="218"/>
      <c r="AP44" s="218"/>
      <c r="AQ44" s="218"/>
    </row>
    <row r="45" ht="12.75" customHeight="1">
      <c r="A45" s="284"/>
      <c r="B45" s="284"/>
      <c r="C45" s="284"/>
      <c r="D45" s="284"/>
      <c r="E45" s="284"/>
      <c r="F45" s="284"/>
      <c r="G45" s="284"/>
      <c r="H45" s="284"/>
      <c r="J45" s="284"/>
      <c r="K45" s="284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</row>
    <row r="46" ht="12.75" customHeight="1">
      <c r="A46" s="218"/>
      <c r="B46" s="225"/>
      <c r="C46" s="218"/>
      <c r="D46" s="218"/>
      <c r="E46" s="218"/>
      <c r="F46" s="218"/>
      <c r="G46" s="218"/>
      <c r="H46" s="218"/>
      <c r="J46" s="225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</row>
    <row r="47" ht="12.75" customHeight="1">
      <c r="A47" s="224" t="s">
        <v>203</v>
      </c>
      <c r="B47" s="250" t="s">
        <v>80</v>
      </c>
      <c r="C47" s="251"/>
      <c r="D47" s="251"/>
      <c r="E47" s="251"/>
      <c r="F47" s="251"/>
      <c r="G47" s="251"/>
      <c r="H47" s="218"/>
      <c r="J47" s="250" t="s">
        <v>82</v>
      </c>
      <c r="K47" s="251"/>
      <c r="L47" s="218"/>
      <c r="M47" s="224" t="s">
        <v>219</v>
      </c>
      <c r="N47" s="250" t="s">
        <v>80</v>
      </c>
      <c r="O47" s="251"/>
      <c r="P47" s="251"/>
      <c r="Q47" s="251"/>
      <c r="R47" s="251"/>
      <c r="S47" s="251"/>
      <c r="T47" s="218"/>
      <c r="U47" s="225"/>
      <c r="V47" s="225"/>
      <c r="W47" s="250" t="s">
        <v>82</v>
      </c>
      <c r="X47" s="251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</row>
    <row r="48" ht="12.75" customHeight="1">
      <c r="A48" s="252"/>
      <c r="B48" s="253" t="s">
        <v>31</v>
      </c>
      <c r="C48" s="253" t="s">
        <v>70</v>
      </c>
      <c r="D48" s="253" t="s">
        <v>32</v>
      </c>
      <c r="E48" s="253" t="s">
        <v>68</v>
      </c>
      <c r="F48" s="253" t="s">
        <v>73</v>
      </c>
      <c r="G48" s="253" t="s">
        <v>71</v>
      </c>
      <c r="H48" s="253" t="s">
        <v>84</v>
      </c>
      <c r="J48" s="253" t="s">
        <v>47</v>
      </c>
      <c r="K48" s="253" t="s">
        <v>93</v>
      </c>
      <c r="L48" s="336"/>
      <c r="M48" s="252"/>
      <c r="N48" s="253" t="s">
        <v>31</v>
      </c>
      <c r="O48" s="253" t="s">
        <v>70</v>
      </c>
      <c r="P48" s="253" t="s">
        <v>32</v>
      </c>
      <c r="Q48" s="253" t="s">
        <v>68</v>
      </c>
      <c r="R48" s="253" t="s">
        <v>73</v>
      </c>
      <c r="S48" s="253" t="s">
        <v>71</v>
      </c>
      <c r="T48" s="253" t="s">
        <v>84</v>
      </c>
      <c r="U48" s="307"/>
      <c r="V48" s="308"/>
      <c r="W48" s="309" t="s">
        <v>47</v>
      </c>
      <c r="X48" s="253" t="s">
        <v>93</v>
      </c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</row>
    <row r="49" ht="12.75" customHeight="1">
      <c r="A49" s="252"/>
      <c r="B49" s="255">
        <f>COUNTIF(B139:AG139,B48)</f>
        <v>0</v>
      </c>
      <c r="C49" s="255">
        <f>COUNTIF(B139:AG139,C48)</f>
        <v>0</v>
      </c>
      <c r="D49" s="255">
        <f t="shared" ref="D49:E49" si="27">COUNTIF(B139:AG139,D48)</f>
        <v>0</v>
      </c>
      <c r="E49" s="255">
        <f t="shared" si="27"/>
        <v>0</v>
      </c>
      <c r="F49" s="255">
        <f>COUNTIF(B139:AG139,F48)</f>
        <v>0</v>
      </c>
      <c r="G49" s="255">
        <f>COUNTIF(B139:AG139,G48)</f>
        <v>0</v>
      </c>
      <c r="H49" s="255">
        <f t="shared" ref="H49:H50" si="30">SUM(B49:G49)</f>
        <v>0</v>
      </c>
      <c r="J49" s="255">
        <f>COUNTIF(B139:AG139,J48)</f>
        <v>0</v>
      </c>
      <c r="K49" s="255">
        <f>COUNTIF(B139:AG139,K48)</f>
        <v>0</v>
      </c>
      <c r="L49" s="336"/>
      <c r="M49" s="252"/>
      <c r="N49" s="255">
        <f>COUNTIF(B140:AG140,N48)</f>
        <v>0</v>
      </c>
      <c r="O49" s="255">
        <f t="shared" ref="O49:P49" si="28">COUNTIF(B140:AG140,O48)</f>
        <v>0</v>
      </c>
      <c r="P49" s="255">
        <f t="shared" si="28"/>
        <v>0</v>
      </c>
      <c r="Q49" s="255">
        <f>COUNTIF(B140:AG140,Q48)</f>
        <v>0</v>
      </c>
      <c r="R49" s="255">
        <f>COUNTIF(B140:AG140,R48)</f>
        <v>0</v>
      </c>
      <c r="S49" s="255">
        <f>COUNTIF(B140:AG140,S48)</f>
        <v>0</v>
      </c>
      <c r="T49" s="255">
        <f t="shared" ref="T49:T50" si="32">SUM(N49:S49)</f>
        <v>0</v>
      </c>
      <c r="U49" s="310"/>
      <c r="V49" s="311"/>
      <c r="W49" s="258">
        <f>COUNTIF(B140:AG140,W48)</f>
        <v>0</v>
      </c>
      <c r="X49" s="255">
        <f>COUNTIF(B140:AG140,X48)</f>
        <v>0</v>
      </c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</row>
    <row r="50" ht="12.75" customHeight="1">
      <c r="A50" s="252"/>
      <c r="B50" s="262">
        <f>IF(H49&gt;0,B49/H49,0)</f>
        <v>0</v>
      </c>
      <c r="C50" s="262">
        <f>IF(H49&gt;0,C49/H49,0)</f>
        <v>0</v>
      </c>
      <c r="D50" s="262">
        <f t="shared" ref="D50:E50" si="29">IF(H49&gt;0,D49/H49,0)</f>
        <v>0</v>
      </c>
      <c r="E50" s="262">
        <f t="shared" si="29"/>
        <v>0</v>
      </c>
      <c r="F50" s="262">
        <f>IF(H49&gt;0,F49/H49,0)</f>
        <v>0</v>
      </c>
      <c r="G50" s="262">
        <f>IF(H49&gt;0,G49/H49,0)</f>
        <v>0</v>
      </c>
      <c r="H50" s="264">
        <f t="shared" si="30"/>
        <v>0</v>
      </c>
      <c r="J50" s="267"/>
      <c r="K50" s="267"/>
      <c r="L50" s="284"/>
      <c r="M50" s="252"/>
      <c r="N50" s="262">
        <f>IF(T49&gt;0,N49/T49,0)</f>
        <v>0</v>
      </c>
      <c r="O50" s="262">
        <f t="shared" ref="O50:P50" si="31">IF(T49&gt;0,O49/T49,0)</f>
        <v>0</v>
      </c>
      <c r="P50" s="262">
        <f t="shared" si="31"/>
        <v>0</v>
      </c>
      <c r="Q50" s="262">
        <f>IF(T49&gt;0,Q49/T49,0)</f>
        <v>0</v>
      </c>
      <c r="R50" s="262">
        <f>IF(T49&gt;0,R49/T49,0)</f>
        <v>0</v>
      </c>
      <c r="S50" s="262">
        <f>IF(T49&gt;0,S49/T49,0)</f>
        <v>0</v>
      </c>
      <c r="T50" s="264">
        <f t="shared" si="32"/>
        <v>0</v>
      </c>
      <c r="U50" s="218"/>
      <c r="V50" s="218"/>
      <c r="W50" s="267"/>
      <c r="X50" s="267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</row>
    <row r="51" ht="12.75" customHeight="1">
      <c r="A51" s="243" t="s">
        <v>127</v>
      </c>
      <c r="B51" s="266">
        <f>IF(H49&gt;0,(B49-G49)/H49,0)</f>
        <v>0</v>
      </c>
      <c r="C51" s="267"/>
      <c r="D51" s="268"/>
      <c r="E51" s="268"/>
      <c r="F51" s="268"/>
      <c r="G51" s="267"/>
      <c r="H51" s="218"/>
      <c r="J51" s="218"/>
      <c r="K51" s="218"/>
      <c r="L51" s="284"/>
      <c r="M51" s="243" t="s">
        <v>127</v>
      </c>
      <c r="N51" s="266">
        <f>IF(T49&gt;0,(N49-S49)/T49,0)</f>
        <v>0</v>
      </c>
      <c r="O51" s="267"/>
      <c r="P51" s="268"/>
      <c r="Q51" s="268"/>
      <c r="R51" s="268"/>
      <c r="S51" s="26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</row>
    <row r="52" ht="12.75" customHeight="1">
      <c r="A52" s="243" t="s">
        <v>120</v>
      </c>
      <c r="B52" s="271">
        <f>IF(H49&gt;0,(B49+C49+D49)/H49,0)</f>
        <v>0</v>
      </c>
      <c r="C52" s="272"/>
      <c r="D52" s="218"/>
      <c r="E52" s="218"/>
      <c r="F52" s="218"/>
      <c r="G52" s="218"/>
      <c r="H52" s="218"/>
      <c r="J52" s="218"/>
      <c r="K52" s="218"/>
      <c r="L52" s="284"/>
      <c r="M52" s="243" t="s">
        <v>120</v>
      </c>
      <c r="N52" s="271">
        <f>IF(T49&gt;0,(N49+O49+P49)/T49,0)</f>
        <v>0</v>
      </c>
      <c r="O52" s="272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</row>
    <row r="53" ht="12.75" customHeight="1">
      <c r="A53" s="218"/>
      <c r="B53" s="276"/>
      <c r="C53" s="272"/>
      <c r="D53" s="218"/>
      <c r="E53" s="218"/>
      <c r="F53" s="218"/>
      <c r="G53" s="218"/>
      <c r="H53" s="218"/>
      <c r="J53" s="225" t="s">
        <v>124</v>
      </c>
      <c r="K53" s="218"/>
      <c r="L53" s="284"/>
      <c r="M53" s="218"/>
      <c r="N53" s="276"/>
      <c r="O53" s="272"/>
      <c r="P53" s="218"/>
      <c r="Q53" s="218"/>
      <c r="R53" s="218"/>
      <c r="S53" s="218"/>
      <c r="T53" s="218"/>
      <c r="U53" s="225"/>
      <c r="V53" s="225"/>
      <c r="W53" s="225" t="s">
        <v>124</v>
      </c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</row>
    <row r="54" ht="12.75" customHeight="1">
      <c r="A54" s="218"/>
      <c r="B54" s="250" t="s">
        <v>79</v>
      </c>
      <c r="C54" s="251"/>
      <c r="D54" s="251"/>
      <c r="E54" s="251"/>
      <c r="F54" s="251"/>
      <c r="G54" s="251"/>
      <c r="H54" s="218"/>
      <c r="J54" s="260" t="s">
        <v>78</v>
      </c>
      <c r="K54" s="261">
        <f>B56+B63+J49</f>
        <v>0</v>
      </c>
      <c r="L54" s="284"/>
      <c r="M54" s="218"/>
      <c r="N54" s="250" t="s">
        <v>79</v>
      </c>
      <c r="O54" s="251"/>
      <c r="P54" s="251"/>
      <c r="Q54" s="251"/>
      <c r="R54" s="251"/>
      <c r="S54" s="251"/>
      <c r="T54" s="218"/>
      <c r="U54" s="260"/>
      <c r="V54" s="260"/>
      <c r="W54" s="260" t="s">
        <v>78</v>
      </c>
      <c r="X54" s="261">
        <f>N56+N63+W49</f>
        <v>0</v>
      </c>
      <c r="Y54" s="218"/>
      <c r="Z54" s="218"/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218"/>
      <c r="AO54" s="218"/>
      <c r="AP54" s="218"/>
      <c r="AQ54" s="218"/>
    </row>
    <row r="55" ht="12.75" customHeight="1">
      <c r="A55" s="252"/>
      <c r="B55" s="253" t="s">
        <v>48</v>
      </c>
      <c r="C55" s="253" t="s">
        <v>26</v>
      </c>
      <c r="D55" s="253" t="s">
        <v>57</v>
      </c>
      <c r="E55" s="253" t="s">
        <v>46</v>
      </c>
      <c r="F55" s="253" t="s">
        <v>75</v>
      </c>
      <c r="G55" s="253" t="s">
        <v>29</v>
      </c>
      <c r="H55" s="253" t="s">
        <v>84</v>
      </c>
      <c r="J55" s="260" t="s">
        <v>125</v>
      </c>
      <c r="K55" s="261">
        <f>G63+G56</f>
        <v>0</v>
      </c>
      <c r="L55" s="284"/>
      <c r="M55" s="252"/>
      <c r="N55" s="253" t="s">
        <v>48</v>
      </c>
      <c r="O55" s="253" t="s">
        <v>26</v>
      </c>
      <c r="P55" s="253" t="s">
        <v>57</v>
      </c>
      <c r="Q55" s="253" t="s">
        <v>46</v>
      </c>
      <c r="R55" s="253" t="s">
        <v>75</v>
      </c>
      <c r="S55" s="253" t="s">
        <v>29</v>
      </c>
      <c r="T55" s="253" t="s">
        <v>84</v>
      </c>
      <c r="U55" s="260"/>
      <c r="V55" s="260"/>
      <c r="W55" s="260" t="s">
        <v>125</v>
      </c>
      <c r="X55" s="261">
        <f>S63+S56</f>
        <v>0</v>
      </c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</row>
    <row r="56" ht="12.75" customHeight="1">
      <c r="A56" s="252"/>
      <c r="B56" s="255">
        <f>COUNTIF(B139:AG139,B55)</f>
        <v>0</v>
      </c>
      <c r="C56" s="255">
        <f t="shared" ref="C56:D56" si="33">COUNTIF(B139:AG139,C55)</f>
        <v>0</v>
      </c>
      <c r="D56" s="255">
        <f t="shared" si="33"/>
        <v>0</v>
      </c>
      <c r="E56" s="255">
        <f>COUNTIF(B139:AG139,E55)</f>
        <v>0</v>
      </c>
      <c r="F56" s="255">
        <f>COUNTIF(B139:AG139,F55)</f>
        <v>0</v>
      </c>
      <c r="G56" s="255">
        <f>COUNTIF(B139:AG139,G55)</f>
        <v>0</v>
      </c>
      <c r="H56" s="255">
        <f t="shared" ref="H56:H57" si="36">SUM(B56:G56)</f>
        <v>0</v>
      </c>
      <c r="J56" s="260" t="s">
        <v>130</v>
      </c>
      <c r="K56" s="261">
        <f>G49</f>
        <v>0</v>
      </c>
      <c r="L56" s="284"/>
      <c r="M56" s="252"/>
      <c r="N56" s="255">
        <f>COUNTIF(B140:AG140,N55)</f>
        <v>0</v>
      </c>
      <c r="O56" s="255">
        <f t="shared" ref="O56:P56" si="34">COUNTIF(B140:AG140,O55)</f>
        <v>0</v>
      </c>
      <c r="P56" s="255">
        <f t="shared" si="34"/>
        <v>0</v>
      </c>
      <c r="Q56" s="255">
        <f>COUNTIF(B140:AG140,Q55)</f>
        <v>0</v>
      </c>
      <c r="R56" s="255">
        <f>COUNTIF(B140:AG140,R55)</f>
        <v>0</v>
      </c>
      <c r="S56" s="255">
        <f>COUNTIF(B140:AG140,S55)</f>
        <v>0</v>
      </c>
      <c r="T56" s="255">
        <f t="shared" ref="T56:T57" si="38">SUM(N56:S56)</f>
        <v>0</v>
      </c>
      <c r="U56" s="260"/>
      <c r="V56" s="260"/>
      <c r="W56" s="260" t="s">
        <v>130</v>
      </c>
      <c r="X56" s="261">
        <f>S49</f>
        <v>0</v>
      </c>
      <c r="Y56" s="218"/>
      <c r="Z56" s="218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218"/>
      <c r="AO56" s="218"/>
      <c r="AP56" s="218"/>
      <c r="AQ56" s="218"/>
    </row>
    <row r="57" ht="12.75" customHeight="1">
      <c r="A57" s="252"/>
      <c r="B57" s="262">
        <f>IF(H56&gt;0,B56/H56,0)</f>
        <v>0</v>
      </c>
      <c r="C57" s="262">
        <f t="shared" ref="C57:D57" si="35">IF(G46&gt;0,C56/H56,0)</f>
        <v>0</v>
      </c>
      <c r="D57" s="262">
        <f t="shared" si="35"/>
        <v>0</v>
      </c>
      <c r="E57" s="262">
        <f>IF(H56&gt;0,E56/H56,0)</f>
        <v>0</v>
      </c>
      <c r="F57" s="262">
        <f>IF(G46&gt;0,F56/H56,0)</f>
        <v>0</v>
      </c>
      <c r="G57" s="262">
        <f>IF(G46&gt;0,G56/H56,0)</f>
        <v>0</v>
      </c>
      <c r="H57" s="262">
        <f t="shared" si="36"/>
        <v>0</v>
      </c>
      <c r="J57" s="260" t="s">
        <v>133</v>
      </c>
      <c r="K57" s="261">
        <f>F63</f>
        <v>0</v>
      </c>
      <c r="L57" s="284"/>
      <c r="M57" s="252"/>
      <c r="N57" s="262">
        <f>IF(T56&gt;0,N56/T56,0)</f>
        <v>0</v>
      </c>
      <c r="O57" s="262">
        <f t="shared" ref="O57:P57" si="37">IF(G113&gt;0,O56/T56,0)</f>
        <v>0</v>
      </c>
      <c r="P57" s="262">
        <f t="shared" si="37"/>
        <v>0</v>
      </c>
      <c r="Q57" s="262">
        <f>IF(T56&gt;0,Q56/T56,0)</f>
        <v>0</v>
      </c>
      <c r="R57" s="262">
        <f>IF(G113&gt;0,R56/T56,0)</f>
        <v>0</v>
      </c>
      <c r="S57" s="262">
        <f>IF(G113&gt;0,S56/T56,0)</f>
        <v>0</v>
      </c>
      <c r="T57" s="262">
        <f t="shared" si="38"/>
        <v>0</v>
      </c>
      <c r="U57" s="260"/>
      <c r="V57" s="260"/>
      <c r="W57" s="260" t="s">
        <v>133</v>
      </c>
      <c r="X57" s="261">
        <f>R63</f>
        <v>0</v>
      </c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</row>
    <row r="58" ht="12.75" customHeight="1">
      <c r="A58" s="243" t="s">
        <v>127</v>
      </c>
      <c r="B58" s="266">
        <f>IF(H56&gt;0,(B56-G56)/H56,0)</f>
        <v>0</v>
      </c>
      <c r="C58" s="267"/>
      <c r="D58" s="267"/>
      <c r="E58" s="267"/>
      <c r="F58" s="267"/>
      <c r="G58" s="267"/>
      <c r="H58" s="218"/>
      <c r="J58" s="260" t="s">
        <v>137</v>
      </c>
      <c r="K58" s="277">
        <f>B51</f>
        <v>0</v>
      </c>
      <c r="L58" s="284"/>
      <c r="M58" s="243" t="s">
        <v>127</v>
      </c>
      <c r="N58" s="266">
        <f>IF(T56&gt;0,(N56-S56)/T56,0)</f>
        <v>0</v>
      </c>
      <c r="O58" s="267"/>
      <c r="P58" s="267"/>
      <c r="Q58" s="267"/>
      <c r="R58" s="267"/>
      <c r="S58" s="267"/>
      <c r="T58" s="218"/>
      <c r="U58" s="260"/>
      <c r="V58" s="260"/>
      <c r="W58" s="260" t="s">
        <v>137</v>
      </c>
      <c r="X58" s="277">
        <f>N51</f>
        <v>0</v>
      </c>
      <c r="Y58" s="218"/>
      <c r="Z58" s="218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218"/>
      <c r="AO58" s="218"/>
      <c r="AP58" s="218"/>
      <c r="AQ58" s="218"/>
    </row>
    <row r="59" ht="12.75" customHeight="1">
      <c r="A59" s="243" t="s">
        <v>120</v>
      </c>
      <c r="B59" s="271">
        <f>IF(H56&gt;0,(B56+C56)/H56,0)</f>
        <v>0</v>
      </c>
      <c r="C59" s="218"/>
      <c r="D59" s="218"/>
      <c r="E59" s="218"/>
      <c r="F59" s="218"/>
      <c r="G59" s="218"/>
      <c r="H59" s="218"/>
      <c r="J59" s="260" t="s">
        <v>141</v>
      </c>
      <c r="K59" s="277">
        <f>B65</f>
        <v>0</v>
      </c>
      <c r="L59" s="284"/>
      <c r="M59" s="243" t="s">
        <v>120</v>
      </c>
      <c r="N59" s="271">
        <f>IF(T56&gt;0,(N56+O56)/T56,0)</f>
        <v>0</v>
      </c>
      <c r="O59" s="218"/>
      <c r="P59" s="218"/>
      <c r="Q59" s="218"/>
      <c r="R59" s="218"/>
      <c r="S59" s="218"/>
      <c r="T59" s="218"/>
      <c r="U59" s="260"/>
      <c r="V59" s="260"/>
      <c r="W59" s="260" t="s">
        <v>141</v>
      </c>
      <c r="X59" s="277">
        <f>N65</f>
        <v>0</v>
      </c>
      <c r="Y59" s="218"/>
      <c r="Z59" s="218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218"/>
      <c r="AO59" s="218"/>
      <c r="AP59" s="218"/>
      <c r="AQ59" s="218"/>
    </row>
    <row r="60" ht="12.75" customHeight="1">
      <c r="A60" s="218"/>
      <c r="B60" s="244"/>
      <c r="C60" s="218"/>
      <c r="D60" s="218"/>
      <c r="E60" s="218"/>
      <c r="F60" s="218"/>
      <c r="G60" s="218"/>
      <c r="H60" s="218"/>
      <c r="J60" s="218"/>
      <c r="K60" s="218"/>
      <c r="L60" s="284"/>
      <c r="M60" s="218"/>
      <c r="N60" s="27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</row>
    <row r="61" ht="12.75" customHeight="1">
      <c r="A61" s="218"/>
      <c r="B61" s="250" t="s">
        <v>81</v>
      </c>
      <c r="C61" s="251"/>
      <c r="D61" s="251"/>
      <c r="E61" s="251"/>
      <c r="F61" s="251"/>
      <c r="G61" s="251"/>
      <c r="H61" s="251"/>
      <c r="J61" s="218"/>
      <c r="K61" s="218"/>
      <c r="L61" s="284"/>
      <c r="M61" s="218"/>
      <c r="N61" s="250" t="s">
        <v>81</v>
      </c>
      <c r="O61" s="251"/>
      <c r="P61" s="251"/>
      <c r="Q61" s="251"/>
      <c r="R61" s="251"/>
      <c r="S61" s="251"/>
      <c r="T61" s="251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</row>
    <row r="62" ht="12.75" customHeight="1">
      <c r="A62" s="252"/>
      <c r="B62" s="253" t="s">
        <v>28</v>
      </c>
      <c r="C62" s="253" t="s">
        <v>51</v>
      </c>
      <c r="D62" s="253" t="s">
        <v>74</v>
      </c>
      <c r="E62" s="253" t="s">
        <v>69</v>
      </c>
      <c r="F62" s="253" t="s">
        <v>76</v>
      </c>
      <c r="G62" s="253" t="s">
        <v>54</v>
      </c>
      <c r="H62" s="253" t="s">
        <v>84</v>
      </c>
      <c r="J62" s="218"/>
      <c r="K62" s="218"/>
      <c r="L62" s="284"/>
      <c r="M62" s="252"/>
      <c r="N62" s="253" t="s">
        <v>28</v>
      </c>
      <c r="O62" s="253" t="s">
        <v>51</v>
      </c>
      <c r="P62" s="253" t="s">
        <v>74</v>
      </c>
      <c r="Q62" s="253" t="s">
        <v>69</v>
      </c>
      <c r="R62" s="253" t="s">
        <v>76</v>
      </c>
      <c r="S62" s="253" t="s">
        <v>54</v>
      </c>
      <c r="T62" s="253" t="s">
        <v>84</v>
      </c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</row>
    <row r="63" ht="12.75" customHeight="1">
      <c r="A63" s="252"/>
      <c r="B63" s="255">
        <f>COUNTIF(B139:AG139,B62)</f>
        <v>0</v>
      </c>
      <c r="C63" s="255">
        <f>COUNTIF(B139:AG139,C62)</f>
        <v>0</v>
      </c>
      <c r="D63" s="255">
        <f>COUNTIF(B139:AG139,D62)</f>
        <v>0</v>
      </c>
      <c r="E63" s="255">
        <f>COUNTIF(B139:AG139,E62)</f>
        <v>0</v>
      </c>
      <c r="F63" s="255">
        <f>COUNTIF(B139:AG139,F62)</f>
        <v>0</v>
      </c>
      <c r="G63" s="255">
        <f>COUNTIF(B139:AG139,G62)</f>
        <v>0</v>
      </c>
      <c r="H63" s="255">
        <f t="shared" ref="H63:H64" si="39">SUM(B63:G63)</f>
        <v>0</v>
      </c>
      <c r="J63" s="218"/>
      <c r="K63" s="218"/>
      <c r="L63" s="284"/>
      <c r="M63" s="252"/>
      <c r="N63" s="255">
        <f>COUNTIF(B140:AG140,N62)</f>
        <v>0</v>
      </c>
      <c r="O63" s="255">
        <f>COUNTIF(B140:AG140,O62)</f>
        <v>0</v>
      </c>
      <c r="P63" s="255">
        <f>COUNTIF(B140:AG140,P62)</f>
        <v>0</v>
      </c>
      <c r="Q63" s="255">
        <f>COUNTIF(B140:AG140,Q62)</f>
        <v>0</v>
      </c>
      <c r="R63" s="255">
        <f>COUNTIF(B140:AG140,R62)</f>
        <v>0</v>
      </c>
      <c r="S63" s="255">
        <f>COUNTIF(B140:AG140,S62)</f>
        <v>0</v>
      </c>
      <c r="T63" s="255">
        <f t="shared" ref="T63:T64" si="40">SUM(N63:S63)</f>
        <v>0</v>
      </c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</row>
    <row r="64" ht="12.75" customHeight="1">
      <c r="A64" s="252"/>
      <c r="B64" s="262">
        <f>IF(H63&gt;0,B63/H63,0)</f>
        <v>0</v>
      </c>
      <c r="C64" s="262">
        <f>IF(H63&gt;0,C63/H63,0)</f>
        <v>0</v>
      </c>
      <c r="D64" s="262">
        <f>IF(H63&gt;0,D63/H63,0)</f>
        <v>0</v>
      </c>
      <c r="E64" s="262">
        <f>IF(H63&gt;0,E63/H63,0)</f>
        <v>0</v>
      </c>
      <c r="F64" s="262">
        <f>IF(H63&gt;0,F63/H63,0)</f>
        <v>0</v>
      </c>
      <c r="G64" s="262">
        <f>IF(H63&gt;0,G63/H63,0)</f>
        <v>0</v>
      </c>
      <c r="H64" s="262">
        <f t="shared" si="39"/>
        <v>0</v>
      </c>
      <c r="J64" s="218"/>
      <c r="K64" s="218"/>
      <c r="L64" s="284"/>
      <c r="M64" s="252"/>
      <c r="N64" s="262">
        <f>IF(T63&gt;0,N63/T63,0)</f>
        <v>0</v>
      </c>
      <c r="O64" s="262">
        <f>IF(T63&gt;0,O63/T63,0)</f>
        <v>0</v>
      </c>
      <c r="P64" s="262">
        <f>IF(T63&gt;0,P63/T63,0)</f>
        <v>0</v>
      </c>
      <c r="Q64" s="262">
        <f>IF(T63&gt;0,Q63/T63,0)</f>
        <v>0</v>
      </c>
      <c r="R64" s="262">
        <f>IF(T63&gt;0,R63/T63,0)</f>
        <v>0</v>
      </c>
      <c r="S64" s="262">
        <f>IF(T63&gt;0,S63/T63,0)</f>
        <v>0</v>
      </c>
      <c r="T64" s="262">
        <f t="shared" si="40"/>
        <v>0</v>
      </c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</row>
    <row r="65" ht="12.75" customHeight="1">
      <c r="A65" s="243" t="s">
        <v>127</v>
      </c>
      <c r="B65" s="269">
        <f>IF(H63&gt;0,(B63-G63)/H63,0)</f>
        <v>0</v>
      </c>
      <c r="C65" s="267"/>
      <c r="D65" s="267"/>
      <c r="E65" s="267"/>
      <c r="F65" s="267"/>
      <c r="G65" s="267"/>
      <c r="H65" s="267"/>
      <c r="J65" s="218"/>
      <c r="K65" s="218"/>
      <c r="L65" s="284"/>
      <c r="M65" s="243" t="s">
        <v>127</v>
      </c>
      <c r="N65" s="269">
        <f>IF(T63&gt;0,(N63-S63)/T63,0)</f>
        <v>0</v>
      </c>
      <c r="O65" s="267"/>
      <c r="P65" s="267"/>
      <c r="Q65" s="267"/>
      <c r="R65" s="267"/>
      <c r="S65" s="267"/>
      <c r="T65" s="267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</row>
    <row r="66" ht="12.75" customHeight="1">
      <c r="A66" s="243" t="s">
        <v>120</v>
      </c>
      <c r="B66" s="244">
        <f>IF(H63&gt;0,(B63+C63+D63+E63)/H63,0)</f>
        <v>0</v>
      </c>
      <c r="C66" s="218"/>
      <c r="D66" s="218"/>
      <c r="E66" s="218"/>
      <c r="F66" s="218"/>
      <c r="G66" s="218"/>
      <c r="H66" s="218"/>
      <c r="J66" s="218"/>
      <c r="K66" s="218"/>
      <c r="L66" s="284"/>
      <c r="M66" s="243" t="s">
        <v>120</v>
      </c>
      <c r="N66" s="244">
        <f>IF(T63&gt;0,(N63+O63+P63+Q63)/T63,0)</f>
        <v>0</v>
      </c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</row>
    <row r="67" ht="12.75" customHeight="1">
      <c r="A67" s="284"/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</row>
    <row r="68" ht="12.75" customHeight="1">
      <c r="A68" s="218"/>
      <c r="B68" s="244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</row>
    <row r="69" ht="12.75" customHeight="1">
      <c r="A69" s="218"/>
      <c r="B69" s="225"/>
      <c r="C69" s="218"/>
      <c r="D69" s="218"/>
      <c r="E69" s="218"/>
      <c r="F69" s="218"/>
      <c r="G69" s="218"/>
      <c r="H69" s="218"/>
      <c r="I69" s="225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218"/>
      <c r="AO69" s="218"/>
      <c r="AP69" s="218"/>
      <c r="AQ69" s="218"/>
    </row>
    <row r="70" ht="12.75" customHeight="1">
      <c r="A70" s="284"/>
      <c r="B70" s="284"/>
      <c r="C70" s="284"/>
      <c r="D70" s="284"/>
      <c r="E70" s="284"/>
      <c r="F70" s="284"/>
      <c r="G70" s="284"/>
      <c r="H70" s="284"/>
      <c r="I70" s="284"/>
      <c r="J70" s="284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218"/>
      <c r="AO70" s="218"/>
      <c r="AP70" s="218"/>
      <c r="AQ70" s="218"/>
    </row>
    <row r="71" ht="12.75" customHeight="1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</row>
    <row r="72" ht="12.75" customHeight="1">
      <c r="A72" s="284"/>
      <c r="B72" s="284"/>
      <c r="C72" s="284"/>
      <c r="D72" s="284"/>
      <c r="E72" s="284"/>
      <c r="F72" s="284"/>
      <c r="G72" s="284"/>
      <c r="H72" s="284"/>
      <c r="I72" s="284"/>
      <c r="J72" s="284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</row>
    <row r="73" ht="12.75" customHeight="1">
      <c r="A73" s="284"/>
      <c r="B73" s="284"/>
      <c r="C73" s="284"/>
      <c r="D73" s="284"/>
      <c r="E73" s="284"/>
      <c r="F73" s="284"/>
      <c r="G73" s="284"/>
      <c r="H73" s="284"/>
      <c r="I73" s="284"/>
      <c r="J73" s="284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</row>
    <row r="74" ht="12.75" customHeight="1">
      <c r="A74" s="284"/>
      <c r="B74" s="284"/>
      <c r="C74" s="284"/>
      <c r="D74" s="284"/>
      <c r="E74" s="284"/>
      <c r="F74" s="284"/>
      <c r="G74" s="284"/>
      <c r="H74" s="284"/>
      <c r="I74" s="284"/>
      <c r="J74" s="284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</row>
    <row r="75" ht="12.75" customHeight="1">
      <c r="A75" s="284"/>
      <c r="B75" s="284"/>
      <c r="C75" s="284"/>
      <c r="D75" s="284"/>
      <c r="E75" s="284"/>
      <c r="F75" s="284"/>
      <c r="G75" s="284"/>
      <c r="H75" s="284"/>
      <c r="I75" s="284"/>
      <c r="J75" s="284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</row>
    <row r="76" ht="12.75" customHeight="1">
      <c r="A76" s="284"/>
      <c r="B76" s="284"/>
      <c r="C76" s="284"/>
      <c r="D76" s="284"/>
      <c r="E76" s="284"/>
      <c r="F76" s="284"/>
      <c r="G76" s="284"/>
      <c r="H76" s="284"/>
      <c r="I76" s="284"/>
      <c r="J76" s="284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</row>
    <row r="77" ht="12.75" customHeight="1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</row>
    <row r="78" ht="12.75" customHeight="1">
      <c r="A78" s="284"/>
      <c r="B78" s="284"/>
      <c r="C78" s="284"/>
      <c r="D78" s="284"/>
      <c r="E78" s="284"/>
      <c r="F78" s="284"/>
      <c r="G78" s="284"/>
      <c r="H78" s="284"/>
      <c r="I78" s="284"/>
      <c r="J78" s="284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</row>
    <row r="79" ht="12.75" customHeight="1">
      <c r="A79" s="284"/>
      <c r="B79" s="284"/>
      <c r="C79" s="284"/>
      <c r="D79" s="284"/>
      <c r="E79" s="284"/>
      <c r="F79" s="284"/>
      <c r="G79" s="284"/>
      <c r="H79" s="284"/>
      <c r="I79" s="284"/>
      <c r="J79" s="284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</row>
    <row r="80" ht="12.75" customHeight="1">
      <c r="A80" s="284"/>
      <c r="B80" s="284"/>
      <c r="C80" s="284"/>
      <c r="D80" s="284"/>
      <c r="E80" s="284"/>
      <c r="F80" s="284"/>
      <c r="G80" s="284"/>
      <c r="H80" s="284"/>
      <c r="I80" s="284"/>
      <c r="J80" s="284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</row>
    <row r="81" ht="12.75" customHeight="1">
      <c r="A81" s="284"/>
      <c r="B81" s="284"/>
      <c r="C81" s="284"/>
      <c r="D81" s="284"/>
      <c r="E81" s="284"/>
      <c r="F81" s="284"/>
      <c r="G81" s="284"/>
      <c r="H81" s="284"/>
      <c r="I81" s="284"/>
      <c r="J81" s="284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</row>
    <row r="82" ht="12.75" customHeight="1">
      <c r="A82" s="284"/>
      <c r="B82" s="284"/>
      <c r="C82" s="284"/>
      <c r="D82" s="284"/>
      <c r="E82" s="284"/>
      <c r="F82" s="284"/>
      <c r="G82" s="284"/>
      <c r="H82" s="284"/>
      <c r="I82" s="284"/>
      <c r="J82" s="284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</row>
    <row r="83" ht="12.75" customHeight="1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</row>
    <row r="84" ht="12.75" customHeight="1">
      <c r="A84" s="284"/>
      <c r="B84" s="284"/>
      <c r="C84" s="284"/>
      <c r="D84" s="284"/>
      <c r="E84" s="284"/>
      <c r="F84" s="284"/>
      <c r="G84" s="284"/>
      <c r="H84" s="284"/>
      <c r="I84" s="284"/>
      <c r="J84" s="284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</row>
    <row r="85" ht="12.75" customHeight="1">
      <c r="A85" s="284"/>
      <c r="B85" s="284"/>
      <c r="C85" s="284"/>
      <c r="D85" s="284"/>
      <c r="E85" s="284"/>
      <c r="F85" s="284"/>
      <c r="G85" s="284"/>
      <c r="H85" s="284"/>
      <c r="I85" s="284"/>
      <c r="J85" s="284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</row>
    <row r="86" ht="12.75" customHeight="1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</row>
    <row r="87" ht="12.75" customHeight="1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</row>
    <row r="88" ht="12.75" customHeight="1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</row>
    <row r="89" ht="12.75" customHeight="1">
      <c r="A89" s="284"/>
      <c r="B89" s="284"/>
      <c r="C89" s="284"/>
      <c r="D89" s="284"/>
      <c r="E89" s="284"/>
      <c r="F89" s="284"/>
      <c r="G89" s="284"/>
      <c r="H89" s="284"/>
      <c r="I89" s="284"/>
      <c r="J89" s="284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</row>
    <row r="90" ht="12.75" customHeight="1">
      <c r="A90" s="218"/>
      <c r="B90" s="244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</row>
    <row r="91" ht="12.75" customHeight="1">
      <c r="A91" s="284"/>
      <c r="B91" s="284"/>
      <c r="C91" s="284"/>
      <c r="D91" s="284"/>
      <c r="E91" s="284"/>
      <c r="F91" s="284"/>
      <c r="G91" s="284"/>
      <c r="H91" s="284"/>
      <c r="I91" s="284"/>
      <c r="J91" s="284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</row>
    <row r="92" ht="12.75" customHeight="1">
      <c r="A92" s="284"/>
      <c r="B92" s="284"/>
      <c r="C92" s="284"/>
      <c r="D92" s="284"/>
      <c r="E92" s="284"/>
      <c r="F92" s="284"/>
      <c r="G92" s="284"/>
      <c r="H92" s="284"/>
      <c r="I92" s="284"/>
      <c r="J92" s="284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</row>
    <row r="93" ht="12.75" customHeight="1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</row>
    <row r="94" ht="12.75" customHeight="1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</row>
    <row r="95" ht="12.75" customHeight="1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</row>
    <row r="96" ht="12.75" customHeight="1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</row>
    <row r="97" ht="12.75" customHeight="1">
      <c r="A97" s="284"/>
      <c r="B97" s="284"/>
      <c r="C97" s="284"/>
      <c r="D97" s="284"/>
      <c r="E97" s="284"/>
      <c r="F97" s="284"/>
      <c r="G97" s="284"/>
      <c r="H97" s="284"/>
      <c r="I97" s="284"/>
      <c r="J97" s="284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</row>
    <row r="98" ht="12.75" customHeight="1">
      <c r="A98" s="284"/>
      <c r="B98" s="284"/>
      <c r="C98" s="284"/>
      <c r="D98" s="284"/>
      <c r="E98" s="284"/>
      <c r="F98" s="284"/>
      <c r="G98" s="284"/>
      <c r="H98" s="284"/>
      <c r="I98" s="284"/>
      <c r="J98" s="284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</row>
    <row r="99" ht="12.75" customHeight="1">
      <c r="A99" s="284"/>
      <c r="B99" s="284"/>
      <c r="C99" s="284"/>
      <c r="D99" s="284"/>
      <c r="E99" s="284"/>
      <c r="F99" s="284"/>
      <c r="G99" s="284"/>
      <c r="H99" s="284"/>
      <c r="I99" s="284"/>
      <c r="J99" s="284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</row>
    <row r="100" ht="12.75" customHeight="1">
      <c r="A100" s="284"/>
      <c r="B100" s="284"/>
      <c r="C100" s="284"/>
      <c r="D100" s="284"/>
      <c r="E100" s="284"/>
      <c r="F100" s="284"/>
      <c r="G100" s="284"/>
      <c r="H100" s="284"/>
      <c r="I100" s="284"/>
      <c r="J100" s="284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</row>
    <row r="101" ht="12.75" customHeight="1">
      <c r="A101" s="284"/>
      <c r="B101" s="284"/>
      <c r="C101" s="284"/>
      <c r="D101" s="284"/>
      <c r="E101" s="284"/>
      <c r="F101" s="284"/>
      <c r="G101" s="284"/>
      <c r="H101" s="284"/>
      <c r="I101" s="284"/>
      <c r="J101" s="284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</row>
    <row r="102" ht="12.75" customHeight="1">
      <c r="A102" s="284"/>
      <c r="B102" s="284"/>
      <c r="C102" s="284"/>
      <c r="D102" s="284"/>
      <c r="E102" s="284"/>
      <c r="F102" s="284"/>
      <c r="G102" s="284"/>
      <c r="H102" s="284"/>
      <c r="I102" s="284"/>
      <c r="J102" s="284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</row>
    <row r="103" ht="12.75" customHeight="1">
      <c r="A103" s="284"/>
      <c r="B103" s="284"/>
      <c r="C103" s="284"/>
      <c r="D103" s="284"/>
      <c r="E103" s="284"/>
      <c r="F103" s="284"/>
      <c r="G103" s="284"/>
      <c r="H103" s="284"/>
      <c r="I103" s="284"/>
      <c r="J103" s="284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</row>
    <row r="104" ht="12.75" customHeight="1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</row>
    <row r="105" ht="12.75" customHeight="1">
      <c r="A105" s="284"/>
      <c r="B105" s="284"/>
      <c r="C105" s="284"/>
      <c r="D105" s="284"/>
      <c r="E105" s="284"/>
      <c r="F105" s="284"/>
      <c r="G105" s="284"/>
      <c r="H105" s="284"/>
      <c r="I105" s="284"/>
      <c r="J105" s="284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</row>
    <row r="106" ht="12.75" customHeight="1">
      <c r="A106" s="284"/>
      <c r="B106" s="284"/>
      <c r="C106" s="284"/>
      <c r="D106" s="284"/>
      <c r="E106" s="284"/>
      <c r="F106" s="284"/>
      <c r="G106" s="284"/>
      <c r="H106" s="284"/>
      <c r="I106" s="284"/>
      <c r="J106" s="284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</row>
    <row r="107" ht="12.75" customHeight="1">
      <c r="A107" s="284"/>
      <c r="B107" s="284"/>
      <c r="C107" s="284"/>
      <c r="D107" s="284"/>
      <c r="E107" s="284"/>
      <c r="F107" s="284"/>
      <c r="G107" s="284"/>
      <c r="H107" s="284"/>
      <c r="I107" s="284"/>
      <c r="J107" s="284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</row>
    <row r="108" ht="12.75" customHeight="1">
      <c r="A108" s="284"/>
      <c r="B108" s="284"/>
      <c r="C108" s="284"/>
      <c r="D108" s="284"/>
      <c r="E108" s="284"/>
      <c r="F108" s="284"/>
      <c r="G108" s="284"/>
      <c r="H108" s="284"/>
      <c r="I108" s="284"/>
      <c r="J108" s="284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</row>
    <row r="109" ht="12.75" customHeight="1">
      <c r="A109" s="284"/>
      <c r="B109" s="284"/>
      <c r="C109" s="284"/>
      <c r="D109" s="284"/>
      <c r="E109" s="284"/>
      <c r="F109" s="284"/>
      <c r="G109" s="284"/>
      <c r="H109" s="284"/>
      <c r="I109" s="284"/>
      <c r="J109" s="284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</row>
    <row r="110" ht="12.75" customHeight="1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</row>
    <row r="111" ht="12.75" customHeight="1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</row>
    <row r="112" ht="12.75" customHeight="1">
      <c r="A112" s="218"/>
      <c r="B112" s="244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</row>
    <row r="113" ht="12.75" customHeight="1">
      <c r="A113" s="218"/>
      <c r="B113" s="225"/>
      <c r="C113" s="218"/>
      <c r="D113" s="218"/>
      <c r="E113" s="218"/>
      <c r="F113" s="218"/>
      <c r="G113" s="218"/>
      <c r="H113" s="218"/>
      <c r="I113" s="225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</row>
    <row r="114" ht="12.75" customHeight="1">
      <c r="A114" s="284"/>
      <c r="B114" s="284"/>
      <c r="C114" s="284"/>
      <c r="D114" s="284"/>
      <c r="E114" s="284"/>
      <c r="F114" s="284"/>
      <c r="G114" s="284"/>
      <c r="H114" s="284"/>
      <c r="I114" s="284"/>
      <c r="J114" s="284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</row>
    <row r="115" ht="12.75" customHeight="1">
      <c r="A115" s="284"/>
      <c r="B115" s="284"/>
      <c r="C115" s="284"/>
      <c r="D115" s="284"/>
      <c r="E115" s="284"/>
      <c r="F115" s="284"/>
      <c r="G115" s="284"/>
      <c r="H115" s="284"/>
      <c r="I115" s="284"/>
      <c r="J115" s="284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</row>
    <row r="116" ht="12.75" customHeight="1">
      <c r="A116" s="284"/>
      <c r="B116" s="284"/>
      <c r="C116" s="284"/>
      <c r="D116" s="284"/>
      <c r="E116" s="284"/>
      <c r="F116" s="284"/>
      <c r="G116" s="284"/>
      <c r="H116" s="284"/>
      <c r="I116" s="284"/>
      <c r="J116" s="284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</row>
    <row r="117" ht="12.75" customHeight="1">
      <c r="A117" s="284"/>
      <c r="B117" s="284"/>
      <c r="C117" s="284"/>
      <c r="D117" s="284"/>
      <c r="E117" s="284"/>
      <c r="F117" s="284"/>
      <c r="G117" s="284"/>
      <c r="H117" s="284"/>
      <c r="I117" s="284"/>
      <c r="J117" s="284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</row>
    <row r="118" ht="12.75" customHeight="1">
      <c r="A118" s="284"/>
      <c r="B118" s="284"/>
      <c r="C118" s="284"/>
      <c r="D118" s="284"/>
      <c r="E118" s="284"/>
      <c r="F118" s="284"/>
      <c r="G118" s="284"/>
      <c r="H118" s="284"/>
      <c r="I118" s="284"/>
      <c r="J118" s="284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</row>
    <row r="119" ht="12.75" customHeight="1">
      <c r="A119" s="284"/>
      <c r="B119" s="284"/>
      <c r="C119" s="284"/>
      <c r="D119" s="284"/>
      <c r="E119" s="284"/>
      <c r="F119" s="284"/>
      <c r="G119" s="284"/>
      <c r="H119" s="284"/>
      <c r="I119" s="284"/>
      <c r="J119" s="284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</row>
    <row r="120" ht="12.75" customHeight="1">
      <c r="A120" s="284"/>
      <c r="B120" s="284"/>
      <c r="C120" s="284"/>
      <c r="D120" s="284"/>
      <c r="E120" s="284"/>
      <c r="F120" s="284"/>
      <c r="G120" s="284"/>
      <c r="H120" s="284"/>
      <c r="I120" s="284"/>
      <c r="J120" s="284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</row>
    <row r="121" ht="12.75" customHeight="1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</row>
    <row r="122" ht="12.75" customHeight="1">
      <c r="A122" s="284"/>
      <c r="B122" s="284"/>
      <c r="C122" s="284"/>
      <c r="D122" s="284"/>
      <c r="E122" s="284"/>
      <c r="F122" s="284"/>
      <c r="G122" s="284"/>
      <c r="H122" s="284"/>
      <c r="I122" s="284"/>
      <c r="J122" s="284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</row>
    <row r="123" ht="12.75" customHeight="1">
      <c r="A123" s="284"/>
      <c r="B123" s="284"/>
      <c r="C123" s="284"/>
      <c r="D123" s="284"/>
      <c r="E123" s="284"/>
      <c r="F123" s="284"/>
      <c r="G123" s="284"/>
      <c r="H123" s="284"/>
      <c r="I123" s="284"/>
      <c r="J123" s="284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</row>
    <row r="124" ht="12.75" customHeight="1">
      <c r="A124" s="284"/>
      <c r="B124" s="284"/>
      <c r="C124" s="284"/>
      <c r="D124" s="284"/>
      <c r="E124" s="284"/>
      <c r="F124" s="284"/>
      <c r="G124" s="284"/>
      <c r="H124" s="284"/>
      <c r="I124" s="284"/>
      <c r="J124" s="284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</row>
    <row r="125" ht="12.75" customHeight="1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</row>
    <row r="126" ht="12.75" customHeight="1">
      <c r="A126" s="284"/>
      <c r="B126" s="284"/>
      <c r="C126" s="284"/>
      <c r="D126" s="284"/>
      <c r="E126" s="284"/>
      <c r="F126" s="284"/>
      <c r="G126" s="284"/>
      <c r="H126" s="284"/>
      <c r="I126" s="284"/>
      <c r="J126" s="284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</row>
    <row r="127" ht="12.75" customHeight="1">
      <c r="A127" s="284"/>
      <c r="B127" s="284"/>
      <c r="C127" s="284"/>
      <c r="D127" s="284"/>
      <c r="E127" s="284"/>
      <c r="F127" s="284"/>
      <c r="G127" s="284"/>
      <c r="H127" s="284"/>
      <c r="I127" s="284"/>
      <c r="J127" s="284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</row>
    <row r="128" ht="12.75" customHeight="1">
      <c r="A128" s="284"/>
      <c r="B128" s="284"/>
      <c r="C128" s="284"/>
      <c r="D128" s="284"/>
      <c r="E128" s="284"/>
      <c r="F128" s="284"/>
      <c r="G128" s="284"/>
      <c r="H128" s="284"/>
      <c r="I128" s="284"/>
      <c r="J128" s="284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</row>
    <row r="129" ht="12.75" customHeight="1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</row>
    <row r="130" ht="12.75" customHeight="1">
      <c r="A130" s="284"/>
      <c r="B130" s="284"/>
      <c r="C130" s="284"/>
      <c r="D130" s="284"/>
      <c r="E130" s="284"/>
      <c r="F130" s="284"/>
      <c r="G130" s="284"/>
      <c r="H130" s="284"/>
      <c r="I130" s="284"/>
      <c r="J130" s="284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</row>
    <row r="131" ht="12.75" customHeight="1">
      <c r="A131" s="284"/>
      <c r="B131" s="284"/>
      <c r="C131" s="284"/>
      <c r="D131" s="284"/>
      <c r="E131" s="284"/>
      <c r="F131" s="284"/>
      <c r="G131" s="284"/>
      <c r="H131" s="284"/>
      <c r="I131" s="284"/>
      <c r="J131" s="284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</row>
    <row r="132" ht="12.75" customHeight="1">
      <c r="A132" s="284"/>
      <c r="B132" s="284"/>
      <c r="C132" s="284"/>
      <c r="D132" s="284"/>
      <c r="E132" s="284"/>
      <c r="F132" s="284"/>
      <c r="G132" s="284"/>
      <c r="H132" s="284"/>
      <c r="I132" s="284"/>
      <c r="J132" s="284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</row>
    <row r="133" ht="12.75" customHeight="1">
      <c r="A133" s="284"/>
      <c r="B133" s="284"/>
      <c r="C133" s="284"/>
      <c r="D133" s="284"/>
      <c r="E133" s="284"/>
      <c r="F133" s="284"/>
      <c r="G133" s="284"/>
      <c r="H133" s="284"/>
      <c r="I133" s="284"/>
      <c r="J133" s="284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</row>
    <row r="134" ht="12.75" customHeight="1">
      <c r="A134" s="218"/>
      <c r="B134" s="244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</row>
    <row r="135" ht="12.75" customHeight="1">
      <c r="A135" s="243"/>
      <c r="B135" s="244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</row>
    <row r="136" ht="12.75" customHeight="1">
      <c r="A136" s="319" t="s">
        <v>208</v>
      </c>
      <c r="B136" s="319" t="str">
        <f>VLOOKUP(B1,Rilevazione!B2:AF13,2,0)</f>
        <v>#N/A</v>
      </c>
      <c r="C136" s="319" t="str">
        <f>VLOOKUP(B1,Rilevazione!B2:AF13,3,0)</f>
        <v>#N/A</v>
      </c>
      <c r="D136" s="319" t="str">
        <f>VLOOKUP(B1,Rilevazione!B2:AF13,4,0)</f>
        <v>#N/A</v>
      </c>
      <c r="E136" s="319" t="str">
        <f>VLOOKUP(B1,Rilevazione!B2:AF13,5,0)</f>
        <v>#N/A</v>
      </c>
      <c r="F136" s="319" t="str">
        <f>VLOOKUP(B1,Rilevazione!B2:AF13,6,0)</f>
        <v>#N/A</v>
      </c>
      <c r="G136" s="319" t="str">
        <f>VLOOKUP(B1,Rilevazione!B2:AF13,7,0)</f>
        <v>#N/A</v>
      </c>
      <c r="H136" s="319" t="str">
        <f>VLOOKUP(B1,Rilevazione!B2:AF13,8,0)</f>
        <v>#N/A</v>
      </c>
      <c r="I136" s="319" t="str">
        <f>VLOOKUP(B1,Rilevazione!B2:AF13,9,0)</f>
        <v>#N/A</v>
      </c>
      <c r="J136" s="319" t="str">
        <f>VLOOKUP(B1,Rilevazione!B2:AF13,10,0)</f>
        <v>#N/A</v>
      </c>
      <c r="K136" s="319" t="str">
        <f>VLOOKUP(B1,Rilevazione!B2:AF13,11,0)</f>
        <v>#N/A</v>
      </c>
      <c r="L136" s="319" t="str">
        <f>VLOOKUP(B1,Rilevazione!B2:AF13,12,0)</f>
        <v>#N/A</v>
      </c>
      <c r="M136" s="319" t="str">
        <f>VLOOKUP(B1,Rilevazione!B2:AF13,13,0)</f>
        <v>#N/A</v>
      </c>
      <c r="N136" s="319" t="str">
        <f>VLOOKUP(B1,Rilevazione!B2:AF13,14,0)</f>
        <v>#N/A</v>
      </c>
      <c r="O136" s="319" t="str">
        <f>VLOOKUP(B1,Rilevazione!B2:AF13,15,0)</f>
        <v>#N/A</v>
      </c>
      <c r="P136" s="319" t="str">
        <f>VLOOKUP(B1,Rilevazione!B2:AF13,16,0)</f>
        <v>#N/A</v>
      </c>
      <c r="Q136" s="319" t="str">
        <f>VLOOKUP(B1,Rilevazione!B2:AF13,17,0)</f>
        <v>#N/A</v>
      </c>
      <c r="R136" s="319" t="str">
        <f>VLOOKUP(B1,Rilevazione!B2:AF13,18,0)</f>
        <v>#N/A</v>
      </c>
      <c r="S136" s="319" t="str">
        <f>VLOOKUP(B1,Rilevazione!B2:AF13,19,0)</f>
        <v>#N/A</v>
      </c>
      <c r="T136" s="319" t="str">
        <f>VLOOKUP(B1,Rilevazione!B2:AF13,20,0)</f>
        <v>#N/A</v>
      </c>
      <c r="U136" s="319"/>
      <c r="V136" s="319"/>
      <c r="W136" s="319" t="str">
        <f>VLOOKUP(B1,Rilevazione!B2:AF13,21,0)</f>
        <v>#N/A</v>
      </c>
      <c r="X136" s="319" t="str">
        <f>VLOOKUP(B1,Rilevazione!B2:AF13,22,0)</f>
        <v>#N/A</v>
      </c>
      <c r="Y136" s="319" t="str">
        <f>VLOOKUP(B1,Rilevazione!B2:AF13,23,0)</f>
        <v>#N/A</v>
      </c>
      <c r="Z136" s="319" t="str">
        <f>VLOOKUP(B1,Rilevazione!B2:AF13,24,0)</f>
        <v>#N/A</v>
      </c>
      <c r="AA136" s="319" t="str">
        <f>VLOOKUP(B1,Rilevazione!B2:AF13,25,0)</f>
        <v>#N/A</v>
      </c>
      <c r="AB136" s="319" t="str">
        <f>VLOOKUP(B1,Rilevazione!B2:AF13,26,0)</f>
        <v>#N/A</v>
      </c>
      <c r="AC136" s="319" t="str">
        <f>VLOOKUP(B1,Rilevazione!B2:AF13,27,0)</f>
        <v>#N/A</v>
      </c>
      <c r="AD136" s="319" t="str">
        <f>VLOOKUP(B1,Rilevazione!B2:AF13,28,0)</f>
        <v>#N/A</v>
      </c>
      <c r="AE136" s="319" t="str">
        <f>VLOOKUP(B1,Rilevazione!B2:AF13,29,0)</f>
        <v>#N/A</v>
      </c>
      <c r="AF136" s="319" t="str">
        <f>VLOOKUP(B1,Rilevazione!B2:AF13,30,0)</f>
        <v>#N/A</v>
      </c>
      <c r="AG136" s="319" t="str">
        <f>VLOOKUP(B1,Rilevazione!B2:AF13,31,0)</f>
        <v>#N/A</v>
      </c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</row>
    <row r="137" ht="12.75" customHeight="1">
      <c r="A137" s="319" t="s">
        <v>209</v>
      </c>
      <c r="B137" s="319" t="str">
        <f>VLOOKUP(B1,Rilevazione!B16:AF27,2,0)</f>
        <v>#N/A</v>
      </c>
      <c r="C137" s="319" t="str">
        <f>VLOOKUP(B1,Rilevazione!B16:AF27,3,0)</f>
        <v>#N/A</v>
      </c>
      <c r="D137" s="319" t="str">
        <f>VLOOKUP(B1,Rilevazione!B16:AF27,4,0)</f>
        <v>#N/A</v>
      </c>
      <c r="E137" s="319" t="str">
        <f>VLOOKUP(B1,Rilevazione!B16:AF27,5,0)</f>
        <v>#N/A</v>
      </c>
      <c r="F137" s="319" t="str">
        <f>VLOOKUP(B1,Rilevazione!B16:AF27,6,0)</f>
        <v>#N/A</v>
      </c>
      <c r="G137" s="319" t="str">
        <f>VLOOKUP(B1,Rilevazione!B16:AF27,7,0)</f>
        <v>#N/A</v>
      </c>
      <c r="H137" s="319" t="str">
        <f>VLOOKUP(B1,Rilevazione!B16:AF27,8,0)</f>
        <v>#N/A</v>
      </c>
      <c r="I137" s="319" t="str">
        <f>VLOOKUP(B1,Rilevazione!B16:AF27,9,0)</f>
        <v>#N/A</v>
      </c>
      <c r="J137" s="319" t="str">
        <f>VLOOKUP(B1,Rilevazione!B16:AF27,10,0)</f>
        <v>#N/A</v>
      </c>
      <c r="K137" s="319" t="str">
        <f>VLOOKUP(B1,Rilevazione!B16:AF27,11,0)</f>
        <v>#N/A</v>
      </c>
      <c r="L137" s="319" t="str">
        <f>VLOOKUP(B1,Rilevazione!B16:AF27,12,0)</f>
        <v>#N/A</v>
      </c>
      <c r="M137" s="319" t="str">
        <f>VLOOKUP(B1,Rilevazione!B16:AF27,13,0)</f>
        <v>#N/A</v>
      </c>
      <c r="N137" s="319" t="str">
        <f>VLOOKUP(B1,Rilevazione!B16:AF27,14,0)</f>
        <v>#N/A</v>
      </c>
      <c r="O137" s="319" t="str">
        <f>VLOOKUP(B1,Rilevazione!B16:AF27,15,0)</f>
        <v>#N/A</v>
      </c>
      <c r="P137" s="319" t="str">
        <f>VLOOKUP(B1,Rilevazione!B16:AF27,16,0)</f>
        <v>#N/A</v>
      </c>
      <c r="Q137" s="319" t="str">
        <f>VLOOKUP(B1,Rilevazione!B16:AF27,17,0)</f>
        <v>#N/A</v>
      </c>
      <c r="R137" s="319" t="str">
        <f>VLOOKUP(B1,Rilevazione!B16:AF27,18,0)</f>
        <v>#N/A</v>
      </c>
      <c r="S137" s="319" t="str">
        <f>VLOOKUP(B1,Rilevazione!B16:AF27,19,0)</f>
        <v>#N/A</v>
      </c>
      <c r="T137" s="319" t="str">
        <f>VLOOKUP(B1,Rilevazione!B16:AF27,20,0)</f>
        <v>#N/A</v>
      </c>
      <c r="U137" s="319"/>
      <c r="V137" s="319"/>
      <c r="W137" s="319" t="str">
        <f>VLOOKUP(B1,Rilevazione!B16:AF27,21,0)</f>
        <v>#N/A</v>
      </c>
      <c r="X137" s="319" t="str">
        <f>VLOOKUP(B1,Rilevazione!B16:AF27,22,0)</f>
        <v>#N/A</v>
      </c>
      <c r="Y137" s="319" t="str">
        <f>VLOOKUP(B1,Rilevazione!B16:AF27,23,0)</f>
        <v>#N/A</v>
      </c>
      <c r="Z137" s="319" t="str">
        <f>VLOOKUP(B1,Rilevazione!B16:AF27,24,0)</f>
        <v>#N/A</v>
      </c>
      <c r="AA137" s="319" t="str">
        <f>VLOOKUP(B1,Rilevazione!B16:AF27,25,0)</f>
        <v>#N/A</v>
      </c>
      <c r="AB137" s="319" t="str">
        <f>VLOOKUP(B1,Rilevazione!B16:AF27,26,0)</f>
        <v>#N/A</v>
      </c>
      <c r="AC137" s="319" t="str">
        <f>VLOOKUP(B1,Rilevazione!B16:AF27,27,0)</f>
        <v>#N/A</v>
      </c>
      <c r="AD137" s="319" t="str">
        <f>VLOOKUP(B1,Rilevazione!B16:AF27,28,0)</f>
        <v>#N/A</v>
      </c>
      <c r="AE137" s="319" t="str">
        <f>VLOOKUP(B1,Rilevazione!B16:AF27,29,0)</f>
        <v>#N/A</v>
      </c>
      <c r="AF137" s="319" t="str">
        <f>VLOOKUP(B1,Rilevazione!B16:AF27,30,0)</f>
        <v>#N/A</v>
      </c>
      <c r="AG137" s="319" t="str">
        <f>VLOOKUP(B1,Rilevazione!B16:AF27,31,0)</f>
        <v>#N/A</v>
      </c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</row>
    <row r="138" ht="12.75" customHeight="1">
      <c r="A138" s="319" t="s">
        <v>214</v>
      </c>
      <c r="B138" s="319" t="str">
        <f>VLOOKUP(B1,Rilevazione!B30:AF41,2,0)</f>
        <v>#N/A</v>
      </c>
      <c r="C138" s="319" t="str">
        <f>VLOOKUP(B1,Rilevazione!B30:AF41,3,0)</f>
        <v>#N/A</v>
      </c>
      <c r="D138" s="319" t="str">
        <f>VLOOKUP(B1,Rilevazione!B30:AF41,4,0)</f>
        <v>#N/A</v>
      </c>
      <c r="E138" s="319" t="str">
        <f>VLOOKUP(B1,Rilevazione!B30:AF41,5,0)</f>
        <v>#N/A</v>
      </c>
      <c r="F138" s="319" t="str">
        <f>VLOOKUP(B1,Rilevazione!B30:AF41,6,0)</f>
        <v>#N/A</v>
      </c>
      <c r="G138" s="319" t="str">
        <f>VLOOKUP(B1,Rilevazione!B30:AF41,7,0)</f>
        <v>#N/A</v>
      </c>
      <c r="H138" s="319" t="str">
        <f>VLOOKUP(B1,Rilevazione!B30:AF41,8,0)</f>
        <v>#N/A</v>
      </c>
      <c r="I138" s="319" t="str">
        <f>VLOOKUP(B1,Rilevazione!B30:AF41,9,0)</f>
        <v>#N/A</v>
      </c>
      <c r="J138" s="319" t="str">
        <f>VLOOKUP(B1,Rilevazione!B30:AF41,10,0)</f>
        <v>#N/A</v>
      </c>
      <c r="K138" s="319" t="str">
        <f>VLOOKUP(B1,Rilevazione!B30:AF41,11,0)</f>
        <v>#N/A</v>
      </c>
      <c r="L138" s="319" t="str">
        <f>VLOOKUP(B1,Rilevazione!B30:AF41,12,0)</f>
        <v>#N/A</v>
      </c>
      <c r="M138" s="319" t="str">
        <f>VLOOKUP(B1,Rilevazione!B30:AF41,13,0)</f>
        <v>#N/A</v>
      </c>
      <c r="N138" s="319" t="str">
        <f>VLOOKUP(B1,Rilevazione!B30:AF41,14,0)</f>
        <v>#N/A</v>
      </c>
      <c r="O138" s="319" t="str">
        <f>VLOOKUP(B1,Rilevazione!B30:AF41,15,0)</f>
        <v>#N/A</v>
      </c>
      <c r="P138" s="319" t="str">
        <f>VLOOKUP(B1,Rilevazione!B30:AF41,16,0)</f>
        <v>#N/A</v>
      </c>
      <c r="Q138" s="319" t="str">
        <f>VLOOKUP(B1,Rilevazione!B30:AF41,17,0)</f>
        <v>#N/A</v>
      </c>
      <c r="R138" s="319" t="str">
        <f>VLOOKUP(B1,Rilevazione!B30:AF41,18,0)</f>
        <v>#N/A</v>
      </c>
      <c r="S138" s="319" t="str">
        <f>VLOOKUP(B1,Rilevazione!B30:AF41,19,0)</f>
        <v>#N/A</v>
      </c>
      <c r="T138" s="319" t="str">
        <f>VLOOKUP(B1,Rilevazione!B30:AF41,20,0)</f>
        <v>#N/A</v>
      </c>
      <c r="U138" s="319"/>
      <c r="V138" s="319"/>
      <c r="W138" s="319" t="str">
        <f>VLOOKUP(B1,Rilevazione!B30:AF41,21,0)</f>
        <v>#N/A</v>
      </c>
      <c r="X138" s="319" t="str">
        <f>VLOOKUP(B1,Rilevazione!B30:AF41,22,0)</f>
        <v>#N/A</v>
      </c>
      <c r="Y138" s="319" t="str">
        <f>VLOOKUP(B1,Rilevazione!B30:AF41,23,0)</f>
        <v>#N/A</v>
      </c>
      <c r="Z138" s="319" t="str">
        <f>VLOOKUP(B1,Rilevazione!B30:AF41,24,0)</f>
        <v>#N/A</v>
      </c>
      <c r="AA138" s="319" t="str">
        <f>VLOOKUP(B1,Rilevazione!B30:AF41,25,0)</f>
        <v>#N/A</v>
      </c>
      <c r="AB138" s="319" t="str">
        <f>VLOOKUP(B1,Rilevazione!B30:AF41,26,0)</f>
        <v>#N/A</v>
      </c>
      <c r="AC138" s="319" t="str">
        <f>VLOOKUP(B1,Rilevazione!B30:AF41,27,0)</f>
        <v>#N/A</v>
      </c>
      <c r="AD138" s="319" t="str">
        <f>VLOOKUP(B1,Rilevazione!B30:AF41,28,0)</f>
        <v>#N/A</v>
      </c>
      <c r="AE138" s="319" t="str">
        <f>VLOOKUP(B1,Rilevazione!B30:AF41,29,0)</f>
        <v>#N/A</v>
      </c>
      <c r="AF138" s="319" t="str">
        <f>VLOOKUP(B1,Rilevazione!B30:AF41,30,0)</f>
        <v>#N/A</v>
      </c>
      <c r="AG138" s="319" t="str">
        <f>VLOOKUP(B1,Rilevazione!B30:AF41,31,0)</f>
        <v>#N/A</v>
      </c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</row>
    <row r="139" ht="12.75" customHeight="1">
      <c r="A139" s="319" t="s">
        <v>216</v>
      </c>
      <c r="B139" s="319" t="str">
        <f>VLOOKUP(B1,Rilevazione!B44:AF55,2,0)</f>
        <v>#N/A</v>
      </c>
      <c r="C139" s="319" t="str">
        <f>VLOOKUP(B1,Rilevazione!B44:AF55,3,0)</f>
        <v>#N/A</v>
      </c>
      <c r="D139" s="319" t="str">
        <f>VLOOKUP(B1,Rilevazione!B44:AF55,4,0)</f>
        <v>#N/A</v>
      </c>
      <c r="E139" s="319" t="str">
        <f>VLOOKUP(B1,Rilevazione!B44:AF55,5,0)</f>
        <v>#N/A</v>
      </c>
      <c r="F139" s="319" t="str">
        <f>VLOOKUP(B1,Rilevazione!B44:AF55,6,0)</f>
        <v>#N/A</v>
      </c>
      <c r="G139" s="319" t="str">
        <f>VLOOKUP(B1,Rilevazione!B44:AF55,7,0)</f>
        <v>#N/A</v>
      </c>
      <c r="H139" s="319" t="str">
        <f>VLOOKUP(B1,Rilevazione!B44:AF55,8,0)</f>
        <v>#N/A</v>
      </c>
      <c r="I139" s="319" t="str">
        <f>VLOOKUP(B1,Rilevazione!B44:AF55,9,0)</f>
        <v>#N/A</v>
      </c>
      <c r="J139" s="319" t="str">
        <f>VLOOKUP(B1,Rilevazione!B44:AF55,10,0)</f>
        <v>#N/A</v>
      </c>
      <c r="K139" s="319" t="str">
        <f>VLOOKUP(B1,Rilevazione!B44:AF55,11,0)</f>
        <v>#N/A</v>
      </c>
      <c r="L139" s="319" t="str">
        <f>VLOOKUP(B1,Rilevazione!B44:AF55,12,0)</f>
        <v>#N/A</v>
      </c>
      <c r="M139" s="319" t="str">
        <f>VLOOKUP(B1,Rilevazione!B44:AF55,13,0)</f>
        <v>#N/A</v>
      </c>
      <c r="N139" s="319" t="str">
        <f>VLOOKUP(B1,Rilevazione!B44:AF55,14,0)</f>
        <v>#N/A</v>
      </c>
      <c r="O139" s="319" t="str">
        <f>VLOOKUP(B1,Rilevazione!B44:AF55,15,0)</f>
        <v>#N/A</v>
      </c>
      <c r="P139" s="319" t="str">
        <f>VLOOKUP(B1,Rilevazione!B44:AF55,16,0)</f>
        <v>#N/A</v>
      </c>
      <c r="Q139" s="319" t="str">
        <f>VLOOKUP(B1,Rilevazione!B44:AF55,17,0)</f>
        <v>#N/A</v>
      </c>
      <c r="R139" s="319" t="str">
        <f>VLOOKUP(B1,Rilevazione!B44:AF55,18,0)</f>
        <v>#N/A</v>
      </c>
      <c r="S139" s="319" t="str">
        <f>VLOOKUP(B1,Rilevazione!B44:AF55,19,0)</f>
        <v>#N/A</v>
      </c>
      <c r="T139" s="319" t="str">
        <f>VLOOKUP(B1,Rilevazione!B44:AF55,20,0)</f>
        <v>#N/A</v>
      </c>
      <c r="U139" s="319"/>
      <c r="V139" s="319"/>
      <c r="W139" s="319" t="str">
        <f>VLOOKUP(B1,Rilevazione!B44:AF55,21,0)</f>
        <v>#N/A</v>
      </c>
      <c r="X139" s="319" t="str">
        <f>VLOOKUP(B1,Rilevazione!B44:AF55,22,0)</f>
        <v>#N/A</v>
      </c>
      <c r="Y139" s="319" t="str">
        <f>VLOOKUP(B1,Rilevazione!B44:AF55,23,0)</f>
        <v>#N/A</v>
      </c>
      <c r="Z139" s="319" t="str">
        <f>VLOOKUP(B1,Rilevazione!B44:AF55,24,0)</f>
        <v>#N/A</v>
      </c>
      <c r="AA139" s="319" t="str">
        <f>VLOOKUP(B1,Rilevazione!B44:AF55,25,0)</f>
        <v>#N/A</v>
      </c>
      <c r="AB139" s="319" t="str">
        <f>VLOOKUP(B1,Rilevazione!B44:AF55,26,0)</f>
        <v>#N/A</v>
      </c>
      <c r="AC139" s="319" t="str">
        <f>VLOOKUP(B1,Rilevazione!B44:AF55,27,0)</f>
        <v>#N/A</v>
      </c>
      <c r="AD139" s="319" t="str">
        <f>VLOOKUP(B1,Rilevazione!B44:AF55,28,0)</f>
        <v>#N/A</v>
      </c>
      <c r="AE139" s="319" t="str">
        <f>VLOOKUP(B1,Rilevazione!B44:AF55,29,0)</f>
        <v>#N/A</v>
      </c>
      <c r="AF139" s="319" t="str">
        <f>VLOOKUP(B1,Rilevazione!B44:AF55,30,0)</f>
        <v>#N/A</v>
      </c>
      <c r="AG139" s="319" t="str">
        <f>VLOOKUP(B1,Rilevazione!B44:AF55,31,0)</f>
        <v>#N/A</v>
      </c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</row>
    <row r="140" ht="12.75" customHeight="1">
      <c r="A140" s="319" t="s">
        <v>217</v>
      </c>
      <c r="B140" s="319" t="str">
        <f>VLOOKUP(B1,Rilevazione!B58:AF69,2,0)</f>
        <v>#N/A</v>
      </c>
      <c r="C140" s="319" t="str">
        <f>VLOOKUP(B1,Rilevazione!B58:AF69,3,0)</f>
        <v>#N/A</v>
      </c>
      <c r="D140" s="319" t="str">
        <f>VLOOKUP(B1,Rilevazione!B58:AF69,4,0)</f>
        <v>#N/A</v>
      </c>
      <c r="E140" s="319" t="str">
        <f>VLOOKUP(B1,Rilevazione!B58:AF69,5,0)</f>
        <v>#N/A</v>
      </c>
      <c r="F140" s="319" t="str">
        <f>VLOOKUP(B1,Rilevazione!B58:AF69,6,0)</f>
        <v>#N/A</v>
      </c>
      <c r="G140" s="319" t="str">
        <f>VLOOKUP(B1,Rilevazione!B58:AF69,7,0)</f>
        <v>#N/A</v>
      </c>
      <c r="H140" s="319" t="str">
        <f>VLOOKUP(B1,Rilevazione!B58:AF69,8,0)</f>
        <v>#N/A</v>
      </c>
      <c r="I140" s="319" t="str">
        <f>VLOOKUP(B1,Rilevazione!B58:AF69,9,0)</f>
        <v>#N/A</v>
      </c>
      <c r="J140" s="319" t="str">
        <f>VLOOKUP(B1,Rilevazione!B58:AF69,10,0)</f>
        <v>#N/A</v>
      </c>
      <c r="K140" s="319" t="str">
        <f>VLOOKUP(B1,Rilevazione!B58:AF69,11,0)</f>
        <v>#N/A</v>
      </c>
      <c r="L140" s="319" t="str">
        <f>VLOOKUP(B1,Rilevazione!B58:AF69,12,0)</f>
        <v>#N/A</v>
      </c>
      <c r="M140" s="319" t="str">
        <f>VLOOKUP(B1,Rilevazione!B58:AF69,13,0)</f>
        <v>#N/A</v>
      </c>
      <c r="N140" s="319" t="str">
        <f>VLOOKUP(B1,Rilevazione!B58:AF69,14,0)</f>
        <v>#N/A</v>
      </c>
      <c r="O140" s="319" t="str">
        <f>VLOOKUP(B1,Rilevazione!B58:AF69,15,0)</f>
        <v>#N/A</v>
      </c>
      <c r="P140" s="319" t="str">
        <f>VLOOKUP(B1,Rilevazione!B58:AF69,16,0)</f>
        <v>#N/A</v>
      </c>
      <c r="Q140" s="319" t="str">
        <f>VLOOKUP(B1,Rilevazione!B58:AF69,17,0)</f>
        <v>#N/A</v>
      </c>
      <c r="R140" s="319" t="str">
        <f>VLOOKUP(B1,Rilevazione!B58:AF69,18,0)</f>
        <v>#N/A</v>
      </c>
      <c r="S140" s="319" t="str">
        <f>VLOOKUP(B1,Rilevazione!B58:AF69,19,0)</f>
        <v>#N/A</v>
      </c>
      <c r="T140" s="319" t="str">
        <f>VLOOKUP(B1,Rilevazione!B58:AF69,20,0)</f>
        <v>#N/A</v>
      </c>
      <c r="U140" s="319"/>
      <c r="V140" s="319"/>
      <c r="W140" s="319" t="str">
        <f>VLOOKUP(B1,Rilevazione!B58:AF69,21,0)</f>
        <v>#N/A</v>
      </c>
      <c r="X140" s="319" t="str">
        <f>VLOOKUP(B1,Rilevazione!B58:AF69,22,0)</f>
        <v>#N/A</v>
      </c>
      <c r="Y140" s="319" t="str">
        <f>VLOOKUP(B1,Rilevazione!B58:AF69,23,0)</f>
        <v>#N/A</v>
      </c>
      <c r="Z140" s="319" t="str">
        <f>VLOOKUP(B1,Rilevazione!B58:AF69,24,0)</f>
        <v>#N/A</v>
      </c>
      <c r="AA140" s="319" t="str">
        <f>VLOOKUP(B1,Rilevazione!B58:AF69,25,0)</f>
        <v>#N/A</v>
      </c>
      <c r="AB140" s="319" t="str">
        <f>VLOOKUP(B1,Rilevazione!B58:AF69,26,0)</f>
        <v>#N/A</v>
      </c>
      <c r="AC140" s="319" t="str">
        <f>VLOOKUP(B1,Rilevazione!B58:AF69,27,0)</f>
        <v>#N/A</v>
      </c>
      <c r="AD140" s="319" t="str">
        <f>VLOOKUP(B1,Rilevazione!B58:AF69,28,0)</f>
        <v>#N/A</v>
      </c>
      <c r="AE140" s="319" t="str">
        <f>VLOOKUP(B1,Rilevazione!B58:AF69,29,0)</f>
        <v>#N/A</v>
      </c>
      <c r="AF140" s="319" t="str">
        <f>VLOOKUP(B1,Rilevazione!B58:AF69,30,0)</f>
        <v>#N/A</v>
      </c>
      <c r="AG140" s="319" t="str">
        <f>VLOOKUP(B1,Rilevazione!B58:AF69,31,0)</f>
        <v>#N/A</v>
      </c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</row>
    <row r="141" ht="12.75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</row>
    <row r="242" ht="12.0" customHeight="1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</row>
    <row r="243" ht="12.0" customHeight="1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</row>
    <row r="244" ht="12.0" customHeight="1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</row>
    <row r="245" ht="12.0" customHeight="1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</row>
    <row r="246" ht="12.0" customHeight="1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</row>
    <row r="247" ht="12.0" customHeight="1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</row>
    <row r="248" ht="12.0" customHeight="1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</row>
    <row r="249" ht="12.0" customHeight="1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</row>
    <row r="250" ht="12.0" customHeight="1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</row>
    <row r="251" ht="12.0" customHeight="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</row>
    <row r="252" ht="12.0" customHeight="1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</row>
    <row r="253" ht="12.0" customHeight="1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</row>
    <row r="254" ht="12.0" customHeight="1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</row>
    <row r="255" ht="12.0" customHeight="1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</row>
    <row r="256" ht="12.0" customHeight="1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</row>
    <row r="257" ht="12.0" customHeight="1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</row>
    <row r="258" ht="12.0" customHeight="1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</row>
    <row r="259" ht="12.0" customHeight="1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</row>
    <row r="260" ht="12.0" customHeight="1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</row>
    <row r="261" ht="12.0" customHeight="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</row>
    <row r="262" ht="12.0" customHeight="1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</row>
    <row r="263" ht="12.0" customHeight="1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</row>
    <row r="264" ht="12.0" customHeight="1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</row>
    <row r="265" ht="12.0" customHeight="1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</row>
    <row r="266" ht="12.0" customHeight="1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</row>
    <row r="267" ht="12.0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</row>
    <row r="268" ht="12.0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</row>
    <row r="269" ht="12.0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</row>
    <row r="270" ht="12.0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</row>
    <row r="271" ht="12.0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</row>
    <row r="272" ht="12.0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</row>
    <row r="273" ht="12.0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</row>
    <row r="274" ht="12.0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</row>
    <row r="275" ht="12.0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</row>
    <row r="276" ht="12.0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</row>
    <row r="277" ht="12.0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</row>
    <row r="278" ht="12.0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</row>
    <row r="279" ht="12.0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</row>
    <row r="280" ht="12.0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</row>
    <row r="281" ht="12.0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</row>
    <row r="282" ht="12.0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</row>
    <row r="283" ht="12.0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</row>
    <row r="284" ht="12.0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</row>
    <row r="285" ht="12.0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</row>
    <row r="286" ht="12.0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</row>
    <row r="287" ht="12.0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</row>
    <row r="288" ht="12.0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</row>
    <row r="289" ht="12.0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</row>
    <row r="290" ht="12.0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</row>
    <row r="291" ht="12.0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</row>
    <row r="292" ht="12.0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</row>
    <row r="293" ht="12.0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</row>
    <row r="294" ht="12.0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</row>
    <row r="295" ht="12.0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</row>
    <row r="296" ht="12.0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</row>
    <row r="297" ht="12.0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</row>
    <row r="298" ht="12.0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</row>
    <row r="299" ht="12.0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</row>
    <row r="300" ht="12.0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</row>
    <row r="301" ht="12.0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</row>
    <row r="302" ht="12.0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</row>
    <row r="303" ht="12.0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</row>
    <row r="304" ht="12.0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</row>
    <row r="305" ht="12.0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</row>
    <row r="306" ht="12.0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</row>
    <row r="307" ht="12.0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</row>
    <row r="308" ht="12.0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</row>
    <row r="309" ht="12.0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</row>
    <row r="310" ht="12.0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</row>
    <row r="311" ht="12.0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</row>
    <row r="312" ht="12.0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</row>
    <row r="313" ht="12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</row>
    <row r="314" ht="12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</row>
    <row r="315" ht="12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</row>
    <row r="316" ht="12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</row>
    <row r="317" ht="12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</row>
    <row r="318" ht="12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</row>
    <row r="319" ht="12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</row>
    <row r="320" ht="12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</row>
    <row r="321" ht="12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</row>
    <row r="322" ht="12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</row>
    <row r="323" ht="12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</row>
    <row r="324" ht="12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</row>
    <row r="325" ht="12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</row>
    <row r="326" ht="12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</row>
    <row r="327" ht="12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</row>
    <row r="328" ht="12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</row>
    <row r="329" ht="12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</row>
    <row r="330" ht="12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</row>
    <row r="331" ht="12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</row>
    <row r="332" ht="12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</row>
    <row r="333" ht="12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</row>
    <row r="334" ht="12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</row>
    <row r="335" ht="12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</row>
    <row r="336" ht="12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</row>
    <row r="337" ht="12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</row>
    <row r="338" ht="12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</row>
    <row r="339" ht="12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</row>
    <row r="340" ht="12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